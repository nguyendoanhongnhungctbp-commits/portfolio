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W_US_AC" sheetId="1" state="visible" r:id="rId1"/>
    <sheet xmlns:r="http://schemas.openxmlformats.org/officeDocument/2006/relationships" name="FR Traceability" sheetId="2" state="visible" r:id="rId2"/>
    <sheet xmlns:r="http://schemas.openxmlformats.org/officeDocument/2006/relationships" name="AC Format Guide" sheetId="3" state="visible" r:id="rId3"/>
  </sheets>
  <definedNames>
    <definedName name="_xlnm._FilterDatabase" localSheetId="0" hidden="1">'PW_US_AC'!$A$6:$J$43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?_-;_-@_-"/>
    <numFmt numFmtId="165" formatCode="dd/mm/yyyy"/>
  </numFmts>
  <fonts count="13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color rgb="FF000000"/>
      <sz val="10"/>
      <scheme val="minor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43" fontId="4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top"/>
    </xf>
    <xf numFmtId="164" fontId="4" fillId="0" borderId="0" applyAlignment="1" pivotButton="0" quotePrefix="1" xfId="1">
      <alignment horizontal="left" vertical="top" wrapText="1"/>
    </xf>
    <xf numFmtId="14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0" fontId="0" fillId="0" borderId="6" pivotButton="0" quotePrefix="0" xfId="0"/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0" fillId="0" borderId="8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/>
    </xf>
    <xf numFmtId="0" fontId="8" fillId="0" borderId="9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8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4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8" fillId="0" borderId="10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0" fontId="8" fillId="0" borderId="12" applyAlignment="1" pivotButton="0" quotePrefix="0" xfId="0">
      <alignment vertical="center" wrapText="1"/>
    </xf>
    <xf numFmtId="165" fontId="0" fillId="0" borderId="0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4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3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Comma" xfId="1" builtinId="3"/>
  </cellStyles>
  <dxfs count="15">
    <dxf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border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6" tint="0.5999938962981048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6:J37" headerRowCount="1" totalsRowShown="0" headerRowDxfId="14" dataDxfId="12" headerRowBorderDxfId="13" tableBorderDxfId="11" totalsRowBorderDxfId="10">
  <autoFilter ref="A6:J37"/>
  <tableColumns count="10">
    <tableColumn id="1" name="No." dataDxfId="9"/>
    <tableColumn id="2" name="ID" dataDxfId="8"/>
    <tableColumn id="3" name="Epic" dataDxfId="7"/>
    <tableColumn id="4" name="As a (role/activitty)" dataDxfId="6"/>
    <tableColumn id="5" name="I want (action/activity)" dataDxfId="5"/>
    <tableColumn id="6" name="So that (benefit/reason)" dataDxfId="4"/>
    <tableColumn id="7" name="User story" dataDxfId="3">
      <calculatedColumnFormula>IF(D7="","","[Là] "&amp;D7&amp;", [tôi muốn] "&amp;E7&amp;" [để] "&amp;F7)</calculatedColumnFormula>
    </tableColumn>
    <tableColumn id="8" name="Acceptance Creteria" dataDxfId="2"/>
    <tableColumn id="9" name="Note" dataDxfId="1"/>
    <tableColumn id="10" name="To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5"/>
  <sheetViews>
    <sheetView tabSelected="1" zoomScaleNormal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E11" sqref="E11"/>
    </sheetView>
  </sheetViews>
  <sheetFormatPr baseColWidth="8" defaultColWidth="12.5703125" defaultRowHeight="15" customHeight="1"/>
  <cols>
    <col width="9.42578125" customWidth="1" min="1" max="1"/>
    <col width="13.7109375" customWidth="1" min="2" max="2"/>
    <col width="22.28515625" customWidth="1" style="17" min="3" max="3"/>
    <col width="20.85546875" customWidth="1" min="4" max="4"/>
    <col width="23.85546875" customWidth="1" min="5" max="5"/>
    <col width="25.5703125" customWidth="1" min="6" max="6"/>
    <col width="29.42578125" customWidth="1" min="7" max="7"/>
    <col width="85" customWidth="1" min="8" max="8"/>
    <col width="22.85546875" customWidth="1" min="9" max="9"/>
    <col width="17.140625" customWidth="1" min="10" max="10"/>
  </cols>
  <sheetData>
    <row r="1" ht="27.75" customHeight="1">
      <c r="A1" s="26" t="inlineStr">
        <is>
          <t>USER STORIES AND ACCEPTANCE CRITERIA MANAGEMENT</t>
        </is>
      </c>
    </row>
    <row r="2" ht="19.5" customHeight="1">
      <c r="A2" s="7" t="inlineStr">
        <is>
          <t>Project</t>
        </is>
      </c>
      <c r="B2" s="27" t="inlineStr">
        <is>
          <t>PW — Business Partner Recognition &amp; Verification Platform (NFT / Blockchain)</t>
        </is>
      </c>
      <c r="E2" s="26" t="n"/>
      <c r="F2" s="26" t="n"/>
      <c r="G2" s="26" t="n"/>
    </row>
    <row r="3" ht="15" customHeight="1">
      <c r="A3" s="5" t="inlineStr">
        <is>
          <t xml:space="preserve">Version
</t>
        </is>
      </c>
      <c r="B3" s="8" t="inlineStr">
        <is>
          <t>1.2</t>
        </is>
      </c>
      <c r="D3" s="5" t="n"/>
      <c r="E3" s="5" t="n"/>
      <c r="F3" s="5" t="n"/>
      <c r="G3" s="5" t="n"/>
    </row>
    <row r="4" ht="12.75" customHeight="1">
      <c r="A4" s="5" t="inlineStr">
        <is>
          <t>Date</t>
        </is>
      </c>
      <c r="B4" s="40" t="n">
        <v>46311</v>
      </c>
      <c r="D4" s="5" t="n"/>
      <c r="E4" s="5" t="n"/>
      <c r="F4" s="5" t="n"/>
      <c r="G4" s="5" t="n"/>
    </row>
    <row r="5" ht="25.5" customHeight="1">
      <c r="A5" s="6" t="inlineStr">
        <is>
          <t>Description</t>
        </is>
      </c>
      <c r="B5" s="10" t="inlineStr">
        <is>
          <t>Aligned with BRD v2.1: 36 user stories covering FR-001 to FR-035 (FR-014 and FR-015 merged into FR-010 and FR-011); BR codes follow BRD section 7A.</t>
        </is>
      </c>
    </row>
    <row r="6" ht="32.25" customHeight="1">
      <c r="A6" s="23" t="inlineStr">
        <is>
          <t>No.</t>
        </is>
      </c>
      <c r="B6" s="24" t="inlineStr">
        <is>
          <t>ID</t>
        </is>
      </c>
      <c r="C6" s="24" t="inlineStr">
        <is>
          <t>Epic</t>
        </is>
      </c>
      <c r="D6" s="24" t="inlineStr">
        <is>
          <t>As a (role)</t>
        </is>
      </c>
      <c r="E6" s="24" t="inlineStr">
        <is>
          <t>I want (action)</t>
        </is>
      </c>
      <c r="F6" s="24" t="inlineStr">
        <is>
          <t>So that (benefit)</t>
        </is>
      </c>
      <c r="G6" s="24" t="inlineStr">
        <is>
          <t>User story</t>
        </is>
      </c>
      <c r="H6" s="24" t="inlineStr">
        <is>
          <t>Acceptance Criteria</t>
        </is>
      </c>
      <c r="I6" s="24" t="inlineStr">
        <is>
          <t>Note / Trace</t>
        </is>
      </c>
      <c r="J6" s="25" t="inlineStr">
        <is>
          <t>Total AC</t>
        </is>
      </c>
    </row>
    <row r="7" ht="255" customHeight="1">
      <c r="A7" s="41" t="n">
        <v>1</v>
      </c>
      <c r="B7" s="42" t="inlineStr">
        <is>
          <t>US-ON01</t>
        </is>
      </c>
      <c r="C7" s="43" t="inlineStr">
        <is>
          <t>ONBOARDING &amp; CLASSIFICATION</t>
        </is>
      </c>
      <c r="D7" s="44" t="inlineStr">
        <is>
          <t>Visitor</t>
        </is>
      </c>
      <c r="E7" s="44" t="inlineStr">
        <is>
          <t>join the waitlist from the Landing Page</t>
        </is>
      </c>
      <c r="F7" s="44" t="inlineStr">
        <is>
          <t>I am notified when PW opens registration</t>
        </is>
      </c>
      <c r="G7" s="45">
        <f>IF(D7="","","As a "&amp;D7&amp;", I want to "&amp;E7&amp;" so that "&amp;F7&amp;".")</f>
        <v/>
      </c>
      <c r="H7" s="45" t="inlineStr">
        <is>
          <t>Scenario 1 – Join with a valid email
- Given the visitor is on the Landing Page
- When the visitor enters a valid email and clicks "Join Waitlist"
- Then the system saves the email to the waitlist
- And displays "You're on the list. We'll email you when PW opens."
Scenario 2 – Email already on the waitlist
- Given the email already exists in the waitlist
- When the visitor submits it again
- Then the system does not create a duplicate record
- And displays "This email is already registered."
Scenario 3 – Invalid or empty email
- Given the visitor is on the waitlist form
- When the visitor submits an empty field or an email in the wrong format
- Then the system displays "Please enter a valid email address."
- And the email is not saved.</t>
        </is>
      </c>
      <c r="I7" s="45" t="inlineStr">
        <is>
          <t>FR-001</t>
        </is>
      </c>
      <c r="J7" s="41" t="n">
        <v>3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85" customHeight="1">
      <c r="A8" s="41" t="n">
        <v>2</v>
      </c>
      <c r="B8" s="42" t="inlineStr">
        <is>
          <t>US-ON02</t>
        </is>
      </c>
      <c r="C8" s="43" t="inlineStr">
        <is>
          <t>ONBOARDING &amp; CLASSIFICATION</t>
        </is>
      </c>
      <c r="D8" s="44" t="inlineStr">
        <is>
          <t>Company / Individual</t>
        </is>
      </c>
      <c r="E8" s="44" t="inlineStr">
        <is>
          <t>register a PW account and choose my account type (Company or Individual)</t>
        </is>
      </c>
      <c r="F8" s="44" t="inlineStr">
        <is>
          <t>I can access the Member Dashboard and start the verification process</t>
        </is>
      </c>
      <c r="G8" s="45">
        <f>IF(D8="","","As a "&amp;D8&amp;", I want to "&amp;E8&amp;" so that "&amp;F8&amp;".")</f>
        <v/>
      </c>
      <c r="H8" s="45" t="inlineStr">
        <is>
          <t>Scenario 1 – Register successfully
- Given the user is on the Register page
- When the user selects an account type, fills in all required fields with valid data and clicks "Create account"
- Then the system creates the account with KYC status = "Not yet KYC"
- And signs the user in and opens the KYC form.
Scenario 2 – Email already registered
- Given an account already exists with the entered email
- When the user clicks "Create account"
- Then the system displays "This email is already registered. Log in instead?"
- And no new account is created.
Scenario 3 – Missing or invalid fields
- Given the user leaves a required field empty or enters a password that does not meet the password policy
- When the user clicks "Create account"
- Then the system highlights each invalid field with an inline error
- And does not create the account.</t>
        </is>
      </c>
      <c r="I8" s="45" t="inlineStr">
        <is>
          <t>FR-002. Individual / Public Figure is a full user (one entity, two views: account user &amp; public Directory profile).</t>
        </is>
      </c>
      <c r="J8" s="41" t="n">
        <v>3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75" customHeight="1">
      <c r="A9" s="41" t="n">
        <v>3</v>
      </c>
      <c r="B9" s="42" t="inlineStr">
        <is>
          <t>US-ON03</t>
        </is>
      </c>
      <c r="C9" s="43" t="inlineStr">
        <is>
          <t>ONBOARDING &amp; CLASSIFICATION</t>
        </is>
      </c>
      <c r="D9" s="44" t="inlineStr">
        <is>
          <t>Company / Individual</t>
        </is>
      </c>
      <c r="E9" s="44" t="inlineStr">
        <is>
          <t>submit my KYC information and documents</t>
        </is>
      </c>
      <c r="F9" s="44" t="inlineStr">
        <is>
          <t>PW can verify my identity before I buy, receive or own an NFT</t>
        </is>
      </c>
      <c r="G9" s="45">
        <f>IF(D9="","","As a "&amp;D9&amp;", I want to "&amp;E9&amp;" so that "&amp;F9&amp;".")</f>
        <v/>
      </c>
      <c r="H9" s="45" t="inlineStr">
        <is>
          <t>Scenario 1 – Submit complete KYC
- Given the user is logged in and KYC status = "Not yet KYC" or "Rejected"
- When the user fills in all required KYC fields, uploads the required documents and clicks "Submit"
- Then the system sets KYC status = "In Review"
- And the request appears in the Admin KYC review queue.
Scenario 2 – Company declares headcount
- Given the account type is Company
- When the user submits KYC
- Then the headcount field is mandatory and is used to classify the business (US-ON04).
Scenario 3 – Missing document or unsupported file
- Given a required document is missing, or a file has an unsupported format/size (PDF, JPG or PNG, up to 25 MB)
- When the user clicks "Submit"
- Then the system shows an error on that field
- And the KYC is not submitted.
Scenario 4 – KYC pending
- Given KYC status = "In Review"
- When the user opens the Dashboard
- Then the system shows the status "KYC under review"
- And Purchase / Gift Title is disabled until KYC is Approved.</t>
        </is>
      </c>
      <c r="I9" s="45" t="inlineStr">
        <is>
          <t>FR-003, BR-09. Company documents: Articles of Incorporation / Certificate of Good Standing / Business Registration Extract. Individual documents: Passport / National ID Card / Driver's Licence. A rejected member can re-submit without limit.</t>
        </is>
      </c>
      <c r="J9" s="41" t="n">
        <v>4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5" customHeight="1">
      <c r="A10" s="41" t="n">
        <v>4</v>
      </c>
      <c r="B10" s="42" t="inlineStr">
        <is>
          <t>US-ON04</t>
        </is>
      </c>
      <c r="C10" s="43" t="inlineStr">
        <is>
          <t>ONBOARDING &amp; CLASSIFICATION</t>
        </is>
      </c>
      <c r="D10" s="44" t="inlineStr">
        <is>
          <t>Company</t>
        </is>
      </c>
      <c r="E10" s="44" t="inlineStr">
        <is>
          <t>have my business classified into Class 0–7 based on headcount</t>
        </is>
      </c>
      <c r="F10" s="44" t="inlineStr">
        <is>
          <t>I am charged the correct price for my business size</t>
        </is>
      </c>
      <c r="G10" s="45">
        <f>IF(D10="","","As a "&amp;D10&amp;", I want to "&amp;E10&amp;" so that "&amp;F10&amp;".")</f>
        <v/>
      </c>
      <c r="H10" s="45" t="inlineStr">
        <is>
          <t>Rule-Based:
- The system maps the declared headcount to exactly one Class (0–7) using the configured headcount bands.
- The Class is assigned when the Admin approves KYC and is shown on the Dashboard and Pricing page.
- Price calculation (US-PT02) always uses the account's current Class.
- A change of Class is recorded in the Audit Log (old Class, new Class, actor, time).
- If headcount is missing, the business cannot be classified and KYC cannot be approved.
- The Admin can correct the Class during KYC review.</t>
        </is>
      </c>
      <c r="I10" s="45" t="inlineStr">
        <is>
          <t>FR-005, BR-01. Headcount bands: 1–10 → Class 0; 11–50 → 1; 51–200 → 2; 201–500 → 3; 501–1,000 → 4; 1,001–5,000 → 5; 5,001–9,999 → 6; 10,000+ → 7. An Individual is Class 0.</t>
        </is>
      </c>
      <c r="J10" s="41" t="n">
        <v>6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5" customHeight="1">
      <c r="A11" s="41" t="n">
        <v>5</v>
      </c>
      <c r="B11" s="42" t="inlineStr">
        <is>
          <t>US-ON05</t>
        </is>
      </c>
      <c r="C11" s="43" t="inlineStr">
        <is>
          <t>ONBOARDING &amp; CLASSIFICATION</t>
        </is>
      </c>
      <c r="D11" s="44" t="inlineStr">
        <is>
          <t>Registered user</t>
        </is>
      </c>
      <c r="E11" s="44" t="inlineStr">
        <is>
          <t>log in with my email and password</t>
        </is>
      </c>
      <c r="F11" s="44" t="inlineStr">
        <is>
          <t>I can access my Dashboard, wallet and NFTs securely</t>
        </is>
      </c>
      <c r="G11" s="45">
        <f>IF(D11="","","As a "&amp;D11&amp;", I want to "&amp;E11&amp;" so that "&amp;F11&amp;".")</f>
        <v/>
      </c>
      <c r="H11" s="45" t="inlineStr">
        <is>
          <t>Scenario 1 – Log in successfully
- Given the user has an account
- When the user enters the correct email and password and clicks "Log in"
- Then the system authenticates the user
- And opens the Member Dashboard.
Scenario 2 – Wrong credentials
- Given the user is on the Log in page
- When the user enters a wrong email or password
- Then the system displays "Email or password is incorrect."
- And does not reveal which of the two is wrong.
Scenario 3 – KYC not yet approved
- Given the user's KYC status is not "Approved"
- When the user logs in
- Then the Dashboard opens in limited mode with a banner showing the current KYC status and next step.</t>
        </is>
      </c>
      <c r="I11" s="45" t="inlineStr">
        <is>
          <t>FR-006, NFR-003.</t>
        </is>
      </c>
      <c r="J11" s="41" t="n">
        <v>3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60" customHeight="1">
      <c r="A12" s="41" t="n">
        <v>6</v>
      </c>
      <c r="B12" s="42" t="inlineStr">
        <is>
          <t>US-AW01</t>
        </is>
      </c>
      <c r="C12" s="43" t="inlineStr">
        <is>
          <t>ACCOUNT &amp; WALLET</t>
        </is>
      </c>
      <c r="D12" s="44" t="inlineStr">
        <is>
          <t>Company / Individual</t>
        </is>
      </c>
      <c r="E12" s="44" t="inlineStr">
        <is>
          <t>have a custodial wallet created for me automatically when my first NFT is issued</t>
        </is>
      </c>
      <c r="F12" s="44" t="inlineStr">
        <is>
          <t>I have a place to hold my NFTs without managing private keys</t>
        </is>
      </c>
      <c r="G12" s="45">
        <f>IF(D12="","","As a "&amp;D12&amp;", I want to "&amp;E12&amp;" so that "&amp;F12&amp;".")</f>
        <v/>
      </c>
      <c r="H12" s="45" t="inlineStr">
        <is>
          <t>Scenario 1 – Automatic creation on the first purchase
- Given the user has no custodial wallet and has just paid for a Title for themselves
- When the payment is confirmed
- Then the system creates the custodial wallet via Circle before minting the NFT.
Scenario 2 – Gift recipient or Award recipient without a wallet
- Given a KYC-approved recipient has no custodial wallet
- When a gifted Title or an Award is issued to the recipient
- Then the system creates the custodial wallet via Circle and mints the NFT to it.
Scenario 3 – Circle is unavailable
- Given a wallet must be created for an order that was paid
- When Circle returns an error or times out
- Then no wallet is saved and no NFT is minted
- And the order is handled as a mint failure: cancelled and a full refund requested (US-TN10).
Scenario 4 – Wallet already exists
- Given the user already has a custodial wallet
- When another NFT is issued
- Then no new wallet is created (one custodial wallet per account).</t>
        </is>
      </c>
      <c r="I12" s="45" t="inlineStr">
        <is>
          <t>FR-007, BR-11. No wallet is created at registration and there is no manual "Create wallet" action.</t>
        </is>
      </c>
      <c r="J12" s="41" t="n">
        <v>4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5" customHeight="1">
      <c r="A13" s="41" t="n">
        <v>7</v>
      </c>
      <c r="B13" s="42" t="inlineStr">
        <is>
          <t>US-AW02</t>
        </is>
      </c>
      <c r="C13" s="43" t="inlineStr">
        <is>
          <t>ACCOUNT &amp; WALLET</t>
        </is>
      </c>
      <c r="D13" s="44" t="inlineStr">
        <is>
          <t>Company / Individual</t>
        </is>
      </c>
      <c r="E13" s="44" t="inlineStr">
        <is>
          <t>view my wallet details</t>
        </is>
      </c>
      <c r="F13" s="44" t="inlineStr">
        <is>
          <t>I know my wallet address, custody type and what it holds</t>
        </is>
      </c>
      <c r="G13" s="45">
        <f>IF(D13="","","As a "&amp;D13&amp;", I want to "&amp;E13&amp;" so that "&amp;F13&amp;".")</f>
        <v/>
      </c>
      <c r="H13" s="45" t="inlineStr">
        <is>
          <t>Scenario 1 – User has a wallet
- Given the user has a custodial wallet
- When the user opens "Wallet"
- Then the system shows the PW wallet address (with copy action) and the number of NFTs held
- And lists each linked non-custodial wallet with its name, address, link date and status "Verified".
Scenario 2 – User has no wallet
- Given the user has no wallet
- When the user opens "Wallet"
- Then the system shows an empty state: the wallet is created with the first Title, or the user can link a wallet they already own.</t>
        </is>
      </c>
      <c r="I13" s="45" t="inlineStr">
        <is>
          <t>FR-008.</t>
        </is>
      </c>
      <c r="J13" s="41" t="n">
        <v>2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375" customHeight="1">
      <c r="A14" s="41" t="n">
        <v>8</v>
      </c>
      <c r="B14" s="42" t="inlineStr">
        <is>
          <t>US-AW03</t>
        </is>
      </c>
      <c r="C14" s="43" t="inlineStr">
        <is>
          <t>ACCOUNT &amp; WALLET</t>
        </is>
      </c>
      <c r="D14" s="44" t="inlineStr">
        <is>
          <t>Company / Individual</t>
        </is>
      </c>
      <c r="E14" s="44" t="inlineStr">
        <is>
          <t>view all NFTs I own</t>
        </is>
      </c>
      <c r="F14" s="44" t="inlineStr">
        <is>
          <t>I can track my Distinctions and Awards and what I can still do with each one</t>
        </is>
      </c>
      <c r="G14" s="45">
        <f>IF(D14="","","As a "&amp;D14&amp;", I want to "&amp;E14&amp;" so that "&amp;F14&amp;".")</f>
        <v/>
      </c>
      <c r="H14" s="45" t="inlineStr">
        <is>
          <t>Scenario 1 – User owns NFTs
- Given the user owns at least one NFT
- When the user opens "My NFTs"
- Then each NFT shows: name, category (Philanthropist / Investor / Bridge), type (Distinction / Award), status (Active / Revoked), custody (Custodial / Self-custody verified), token ID and issue date
- And each Distinction shows whether its one-time transfer is still available; each Award shows "Soulbound – non-transferable".
Scenario 2 – No NFTs
- Given the user owns no NFT
- When the user opens "My NFTs"
- Then the system shows "You don't own any NFTs yet" with a "Browse Titles" action.
Scenario 3 – Revoked NFT
- Given an NFT owned by the user has been revoked
- When the user views the list
- Then the NFT is shown with status "Revoked" and no transfer action.
Scenario 4 – NFT in an unlinked wallet
- Given the user unlinked a wallet that held NFTs
- When the user opens "My NFTs"
- Then those NFTs are not listed and do not count toward ranking (BR-05).
- And linking the same wallet again brings them back.</t>
        </is>
      </c>
      <c r="I14" s="45" t="inlineStr">
        <is>
          <t>FR-009, BR-05.</t>
        </is>
      </c>
      <c r="J14" s="41" t="n">
        <v>4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390" customHeight="1">
      <c r="A15" s="41" t="n">
        <v>9</v>
      </c>
      <c r="B15" s="42" t="inlineStr">
        <is>
          <t>US-AW04</t>
        </is>
      </c>
      <c r="C15" s="43" t="inlineStr">
        <is>
          <t>ACCOUNT &amp; WALLET</t>
        </is>
      </c>
      <c r="D15" s="44" t="inlineStr">
        <is>
          <t>Company / Individual</t>
        </is>
      </c>
      <c r="E15" s="44" t="inlineStr">
        <is>
          <t>link my non-custodial wallet by connecting it and signing a message</t>
        </is>
      </c>
      <c r="F15" s="44" t="inlineStr">
        <is>
          <t>NFTs I move there still count for my ranking</t>
        </is>
      </c>
      <c r="G15" s="45">
        <f>IF(D15="","","As a "&amp;D15&amp;", I want to "&amp;E15&amp;" so that "&amp;F15&amp;".")</f>
        <v/>
      </c>
      <c r="H15" s="45" t="inlineStr">
        <is>
          <t>Scenario 1 – Link successfully
- Given the user has no linked non-custodial wallet
- When the user connects a wallet and signs the verification message
- And the signed address matches the connected address
- Then the system saves the wallet as "Linked – Verified"
- And the wallet appears in the shared linked-wallet list (Dashboard and Transfer).
Scenario 2 – User rejects or fails the signature
- Given the user has connected a wallet
- When the user rejects the signature request or the signature is invalid
- Then the system displays "Wallet not linked. Signature was not completed."
- And the wallet is not saved.
Scenario 3 – Wallet already linked to another account
- Given the wallet address is already linked to another PW account
- When the user tries to link it
- Then the system displays "This wallet is already linked to another PW account. Each wallet can be linked to one account only."
- And the link is refused (1 wallet ↔ 1 account).
Scenario 4 – Wallet already linked to the same account
- Given the wallet is already in the user's linked-wallet list
- When the user tries to link it again
- Then the system displays "This wallet is already linked to your account."
- And no second record is created.</t>
        </is>
      </c>
      <c r="I15" s="45" t="inlineStr">
        <is>
          <t>FR-031, BR-07. Rule: 1 wallet ↔ 1 account. An account can link more than one wallet; all appear in one shared list.</t>
        </is>
      </c>
      <c r="J15" s="41" t="n">
        <v>4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0" customHeight="1">
      <c r="A16" s="41" t="n">
        <v>10</v>
      </c>
      <c r="B16" s="42" t="inlineStr">
        <is>
          <t>US-AW05</t>
        </is>
      </c>
      <c r="C16" s="43" t="inlineStr">
        <is>
          <t>ACCOUNT &amp; WALLET</t>
        </is>
      </c>
      <c r="D16" s="44" t="inlineStr">
        <is>
          <t>Company / Individual</t>
        </is>
      </c>
      <c r="E16" s="44" t="inlineStr">
        <is>
          <t>unlink my non-custodial wallet</t>
        </is>
      </c>
      <c r="F16" s="44" t="inlineStr">
        <is>
          <t>I can stop using a wallet I no longer control</t>
        </is>
      </c>
      <c r="G16" s="45">
        <f>IF(D16="","","As a "&amp;D16&amp;", I want to "&amp;E16&amp;" so that "&amp;F16&amp;".")</f>
        <v/>
      </c>
      <c r="H16" s="45" t="inlineStr">
        <is>
          <t>Scenario 1 – Confirm unlink
- Given the user has a linked non-custodial wallet
- When the user clicks "Unlink"
- Then the system shows a warning: "NFTs in this wallet will no longer count toward your ranking."
- And when the user confirms, the wallet is removed from the linked list
- And its NFTs are removed from the user's ranking and Directory profile.
Scenario 2 – Cancel
- Given the warning is displayed
- When the user clicks "Cancel"
- Then nothing changes.</t>
        </is>
      </c>
      <c r="I16" s="45" t="inlineStr">
        <is>
          <t>FR-032, BR-07.</t>
        </is>
      </c>
      <c r="J16" s="41" t="n">
        <v>2</v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70" customHeight="1">
      <c r="A17" s="41" t="n">
        <v>11</v>
      </c>
      <c r="B17" s="42" t="inlineStr">
        <is>
          <t>US-TN01</t>
        </is>
      </c>
      <c r="C17" s="43" t="inlineStr">
        <is>
          <t>TITLE &amp; NFT</t>
        </is>
      </c>
      <c r="D17" s="44" t="inlineStr">
        <is>
          <t>Company / Individual</t>
        </is>
      </c>
      <c r="E17" s="44" t="inlineStr">
        <is>
          <t>browse the available Titles (Philanthropist, Investor, Bridge)</t>
        </is>
      </c>
      <c r="F17" s="44" t="inlineStr">
        <is>
          <t>I can choose the Title that fits my business</t>
        </is>
      </c>
      <c r="G17" s="45">
        <f>IF(D17="","","As a "&amp;D17&amp;", I want to "&amp;E17&amp;" so that "&amp;F17&amp;".")</f>
        <v/>
      </c>
      <c r="H17" s="45" t="inlineStr">
        <is>
          <t>Scenario 1 – Logged-in user with approved KYC
- Given the user is logged in and KYC is Approved
- When the user opens "Titles"
- Then the system lists the 3 Titles with description and the price for the user's Class
- And each Title has "Buy for myself" and "Gift" actions.
Scenario 2 – KYC not approved
- Given the user's KYC is not Approved
- When the user opens "Titles"
- Then Titles and prices are visible but the purchase actions are disabled with the message "Complete KYC to purchase a Title."
Scenario 3 – Guest
- Given the visitor is not logged in
- When the visitor opens the Titles on the Landing Page
- Then the Titles are listed without prices
- And "Purchase a Title" asks the visitor to log in.</t>
        </is>
      </c>
      <c r="I17" s="45" t="inlineStr">
        <is>
          <t>FR-011, BR-01. A guest sees the Titles without prices and is asked to log in to purchase.</t>
        </is>
      </c>
      <c r="J17" s="41" t="n">
        <v>3</v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09" customHeight="1">
      <c r="A18" s="41" t="n">
        <v>12</v>
      </c>
      <c r="B18" s="42" t="inlineStr">
        <is>
          <t>US-TN02</t>
        </is>
      </c>
      <c r="C18" s="43" t="inlineStr">
        <is>
          <t>TITLE &amp; NFT</t>
        </is>
      </c>
      <c r="D18" s="44" t="inlineStr">
        <is>
          <t>Company / Individual (buyer)</t>
        </is>
      </c>
      <c r="E18" s="44" t="inlineStr">
        <is>
          <t>purchase a Title for myself</t>
        </is>
      </c>
      <c r="F18" s="44" t="inlineStr">
        <is>
          <t>I receive a Distinction NFT that publicly proves my recognition</t>
        </is>
      </c>
      <c r="G18" s="45">
        <f>IF(D18="","","As a "&amp;D18&amp;", I want to "&amp;E18&amp;" so that "&amp;F18&amp;".")</f>
        <v/>
      </c>
      <c r="H18" s="45" t="inlineStr">
        <is>
          <t>Scenario 1 – Purchase successfully
- Given the buyer's KYC is Approved and the buyer selects a Title and "Buy for myself"
- When the buyer reviews the price (after any discount) and clicks "Confirm &amp; Pay"
- And the Payment Gateway confirms the payment
- Then the system creates a custodial wallet if the buyer has none
- And mints the Distinction NFT to the buyer's wallet with status "Active"
- And credits reward points (US-PT04), updates ranking and writes an Audit Log entry
- And shows a success screen with the NFT details.
Scenario 2 – Payment declined
- Given the buyer is on the payment step
- When the Payment Gateway declines the payment
- Then the system displays "Payment was declined. You have not been charged."
- And no NFT is minted and no points are credited.
Scenario 3 – Buyer cancels before paying
- Given the buyer is on the review step
- When the buyer clicks "Cancel"
- Then no Purchase Request is created.
Scenario 4 – Payment succeeded but minting fails
- Given the payment was confirmed
- When minting fails
- Then the order is cancelled, no points are credited and a full refund is requested (US-TN10).</t>
        </is>
      </c>
      <c r="I18" s="45" t="inlineStr">
        <is>
          <t>FR-012, FR-013, BR-08, BR-10, BR-11.</t>
        </is>
      </c>
      <c r="J18" s="41" t="n">
        <v>4</v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375" customHeight="1">
      <c r="A19" s="41" t="n">
        <v>13</v>
      </c>
      <c r="B19" s="42" t="inlineStr">
        <is>
          <t>US-TN03</t>
        </is>
      </c>
      <c r="C19" s="43" t="inlineStr">
        <is>
          <t>TITLE &amp; NFT</t>
        </is>
      </c>
      <c r="D19" s="44" t="inlineStr">
        <is>
          <t>Company / Individual (buyer)</t>
        </is>
      </c>
      <c r="E19" s="44" t="inlineStr">
        <is>
          <t>gift a Title to another KYC-verified member by selecting the recipient</t>
        </is>
      </c>
      <c r="F19" s="44" t="inlineStr">
        <is>
          <t>I can recognize a partner with a Distinction NFT</t>
        </is>
      </c>
      <c r="G19" s="45">
        <f>IF(D19="","","As a "&amp;D19&amp;", I want to "&amp;E19&amp;" so that "&amp;F19&amp;".")</f>
        <v/>
      </c>
      <c r="H19" s="45" t="inlineStr">
        <is>
          <t>Scenario 1 – Select a KYC-verified recipient
- Given the buyer selects a Title and "Gift to Someone"
- When the buyer searches for the recipient by name or entity ID and selects a KYC-verified result
- Then the recipient is shown and "Continue to Payment" becomes available.
Scenario 2 – Recipient not KYC-verified
- Given the buyer searches for a recipient whose KYC is not approved
- When the result is shown
- Then it is marked "Not verified" and cannot be selected
- And "Continue to Payment" stays disabled.
Scenario 3 – Gift paid successfully
- Given a KYC-verified recipient is selected
- When the payment is confirmed
- Then the system creates the recipient's custodial wallet if missing and mints the Distinction NFT directly to it with status "Active" (no accept step)
- And sends a Gift Notification to the recipient (US-TN04)
- And credits points 10% to the buyer and 10% to the recipient
- And the gift does NOT consume the recipient's one-time transfer.
Scenario 4 – Recipient = buyer
- Given the buyer selects themselves
- When the order is created
- Then the system treats it as "Buy for myself".</t>
        </is>
      </c>
      <c r="I19" s="45" t="inlineStr">
        <is>
          <t>FR-012, FR-007, BR-03, BR-08. The recipient must be KYC-approved. The price follows the BUYER's Class. A gift is issued directly, not transferred.</t>
        </is>
      </c>
      <c r="J19" s="41" t="n">
        <v>4</v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5" customHeight="1">
      <c r="A20" s="41" t="n">
        <v>14</v>
      </c>
      <c r="B20" s="42" t="inlineStr">
        <is>
          <t>US-TN04</t>
        </is>
      </c>
      <c r="C20" s="43" t="inlineStr">
        <is>
          <t>TITLE &amp; NFT</t>
        </is>
      </c>
      <c r="D20" s="44" t="inlineStr">
        <is>
          <t>Gift recipient</t>
        </is>
      </c>
      <c r="E20" s="44" t="inlineStr">
        <is>
          <t>receive a notification when a Title is gifted to me</t>
        </is>
      </c>
      <c r="F20" s="44" t="inlineStr">
        <is>
          <t>I know a Distinction NFT has been issued to me and by whom</t>
        </is>
      </c>
      <c r="G20" s="45">
        <f>IF(D20="","","As a "&amp;D20&amp;", I want to "&amp;E20&amp;" so that "&amp;F20&amp;".")</f>
        <v/>
      </c>
      <c r="H20" s="45" t="inlineStr">
        <is>
          <t>Scenario 1 – Recipient is a PW member
- Given a gifted Distinction NFT has been minted to the recipient's wallet
- When minting is confirmed
- Then the recipient is notified in the app (notification bell and notification screen) with the Title, the buyer's name and the NFT link
- And no action is required from the recipient.
Scenario 2 – Recipient is a listed entity without a PW login
- Given the gift went to an entity that is listed in the Directory but has no PW account
- When the NFT is minted
- Then the NFT stays valid on-chain, shows on the entity's Directory card and the event is logged; no notification is sent.</t>
        </is>
      </c>
      <c r="I20" s="45" t="inlineStr">
        <is>
          <t>FR-012. Accept/consent step removed (decision 2026-09-16).</t>
        </is>
      </c>
      <c r="J20" s="41" t="n">
        <v>2</v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5" customHeight="1">
      <c r="A21" s="41" t="n">
        <v>15</v>
      </c>
      <c r="B21" s="42" t="inlineStr">
        <is>
          <t>US-TN05</t>
        </is>
      </c>
      <c r="C21" s="43" t="inlineStr">
        <is>
          <t>TITLE &amp; NFT</t>
        </is>
      </c>
      <c r="D21" s="44" t="inlineStr">
        <is>
          <t>PW Platform (system)</t>
        </is>
      </c>
      <c r="E21" s="44" t="inlineStr">
        <is>
          <t>mint an NFT automatically when a purchase is paid or an Award is granted</t>
        </is>
      </c>
      <c r="F21" s="44" t="inlineStr">
        <is>
          <t>every issued Title or Award is recorded on-chain and verifiable</t>
        </is>
      </c>
      <c r="G21" s="45">
        <f>IF(D21="","","As a "&amp;D21&amp;", I want to "&amp;E21&amp;" so that "&amp;F21&amp;".")</f>
        <v/>
      </c>
      <c r="H21" s="45" t="inlineStr">
        <is>
          <t>Rule-Based:
- Minting is triggered only by (a) a confirmed payment for Purchase / Gift Title, or (b) an Admin Grant Award. There is no manual mint screen.
- Purchase → Distinction NFT (transferable once). Grant → Award NFT (soulbound).
- The NFT is minted directly to the recipient's wallet and is "Active" immediately.
- The token ID, transaction hash, owner, type, category and issue date are saved and shown in "My NFTs" and the Directory.
- Every mint writes an Audit Log entry.
- If the blockchain call fails, the NFT is not shown as Active and the event is logged. A purchase or gift that was already paid is cancelled and a full refund is requested (US-TN10); there is no automatic retry.</t>
        </is>
      </c>
      <c r="I21" s="45" t="inlineStr">
        <is>
          <t>FR-013, BR-11. Via Alchemy / smart contract.</t>
        </is>
      </c>
      <c r="J21" s="41" t="n">
        <v>6</v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09" customHeight="1">
      <c r="A22" s="41" t="n">
        <v>16</v>
      </c>
      <c r="B22" s="42" t="inlineStr">
        <is>
          <t>US-TN06</t>
        </is>
      </c>
      <c r="C22" s="43" t="inlineStr">
        <is>
          <t>TITLE &amp; NFT</t>
        </is>
      </c>
      <c r="D22" s="44" t="inlineStr">
        <is>
          <t>NFT owner</t>
        </is>
      </c>
      <c r="E22" s="44" t="inlineStr">
        <is>
          <t>move my Distinction NFT to my own linked non-custodial wallet</t>
        </is>
      </c>
      <c r="F22" s="44" t="inlineStr">
        <is>
          <t>I hold it myself and it still counts for my ranking</t>
        </is>
      </c>
      <c r="G22" s="45">
        <f>IF(D22="","","As a "&amp;D22&amp;", I want to "&amp;E22&amp;" so that "&amp;F22&amp;".")</f>
        <v/>
      </c>
      <c r="H22" s="45" t="inlineStr">
        <is>
          <t>Scenario 1 – Transfer to an already linked wallet
- Given the user owns an Active Distinction NFT in the custodial wallet whose one-time transfer is unused
- And the user has a linked, verified non-custodial wallet
- When the user selects that wallet and confirms
- Then the system transfers the NFT on-chain without asking for a new signature
- And marks the one-time transfer as used
- And the NFT keeps counting toward ranking.
Scenario 2 – Transfer to a new own wallet
- Given the destination wallet is not linked yet
- When the user selects "Another address", enters the address, connects the wallet and signs the message, and the signed address matches the destination
- Then the wallet is linked automatically and the transfer proceeds as in Scenario 1.
Scenario 3 – Signature does not match
- Given the user signs for a new destination address
- When the signed address differs from the destination address
- Then the system displays "The signature came from wallet …, which does not match the address you entered. Please sign with your own wallet."
- And the transfer is not executed.
Scenario 4 – Address linked to another account
- Given the destination address is already linked to another PW account
- When the user clicks "Continue"
- Then the system displays "This wallet is already linked to another PW account. Each wallet can be linked to one account only."
- And nothing is transferred.</t>
        </is>
      </c>
      <c r="I22" s="45" t="inlineStr">
        <is>
          <t>FR-010, FR-031, BR-06, BR-07. Any move out of the custodial wallet uses the one-time transfer; the NFT is then locked in the destination wallet.</t>
        </is>
      </c>
      <c r="J22" s="41" t="n">
        <v>4</v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0" customHeight="1">
      <c r="A23" s="41" t="n">
        <v>17</v>
      </c>
      <c r="B23" s="42" t="inlineStr">
        <is>
          <t>US-TN07</t>
        </is>
      </c>
      <c r="C23" s="43" t="inlineStr">
        <is>
          <t>TITLE &amp; NFT</t>
        </is>
      </c>
      <c r="D23" s="44" t="inlineStr">
        <is>
          <t>NFT owner</t>
        </is>
      </c>
      <c r="E23" s="44" t="inlineStr">
        <is>
          <t>be prevented from transferring an NFT that is not transferable</t>
        </is>
      </c>
      <c r="F23" s="44" t="inlineStr">
        <is>
          <t>the transfer rules of PW are enforced</t>
        </is>
      </c>
      <c r="G23" s="45">
        <f>IF(D23="","","As a "&amp;D23&amp;", I want to "&amp;E23&amp;" so that "&amp;F23&amp;".")</f>
        <v/>
      </c>
      <c r="H23" s="45" t="inlineStr">
        <is>
          <t>Rule-Based:
- An Award NFT is soulbound: the Transfer action is hidden and any transfer request is refused with "Award NFTs are soulbound and cannot be transferred."
- A Distinction NFT whose one-time transfer has been used cannot be transferred again ("This NFT has already used its one-time transfer.").
- A Revoked NFT cannot be transferred.
- Transfer to another owner is not supported: a Distinction NFT can only move once, to the member's own non-custodial wallet.</t>
        </is>
      </c>
      <c r="I23" s="45" t="inlineStr">
        <is>
          <t>FR-010, BR-06.</t>
        </is>
      </c>
      <c r="J23" s="41" t="n">
        <v>4</v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5" customHeight="1">
      <c r="A24" s="41" t="n">
        <v>18</v>
      </c>
      <c r="B24" s="42" t="inlineStr">
        <is>
          <t>US-TN08</t>
        </is>
      </c>
      <c r="C24" s="43" t="inlineStr">
        <is>
          <t>TITLE &amp; NFT</t>
        </is>
      </c>
      <c r="D24" s="44" t="inlineStr">
        <is>
          <t>PW Platform (system)</t>
        </is>
      </c>
      <c r="E24" s="44" t="inlineStr">
        <is>
          <t>update an NFT's custody status after the transfer is confirmed on-chain</t>
        </is>
      </c>
      <c r="F24" s="44" t="inlineStr">
        <is>
          <t>owners and the public see where each NFT is really held</t>
        </is>
      </c>
      <c r="G24" s="45">
        <f>IF(D24="","","As a "&amp;D24&amp;", I want to "&amp;E24&amp;" so that "&amp;F24&amp;".")</f>
        <v/>
      </c>
      <c r="H24" s="45" t="inlineStr">
        <is>
          <t>Scenario 1 – On-chain confirmation received
- Given an NFT transfer to a linked/verified wallet has been submitted
- When the transaction is confirmed on-chain
- Then the system changes custody status from "Custodial" to "Self-custody (verified)"
- And writes an Audit Log entry.
Scenario 2 – Transaction pending or failed
- Given the transaction is not yet confirmed
- When the user views the NFT
- Then the status shows "Transfer pending"
- And if the transaction fails, the NFT stays "Custodial" and the one-time transfer is NOT consumed.</t>
        </is>
      </c>
      <c r="I24" s="45" t="inlineStr">
        <is>
          <t>FR-033, BR-06.</t>
        </is>
      </c>
      <c r="J24" s="41" t="n">
        <v>2</v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75" customHeight="1">
      <c r="A25" s="41" t="n">
        <v>19</v>
      </c>
      <c r="B25" s="42" t="inlineStr">
        <is>
          <t>US-TN09</t>
        </is>
      </c>
      <c r="C25" s="43" t="inlineStr">
        <is>
          <t>TITLE &amp; NFT</t>
        </is>
      </c>
      <c r="D25" s="44" t="inlineStr">
        <is>
          <t>PW Platform (system)</t>
        </is>
      </c>
      <c r="E25" s="44" t="inlineStr">
        <is>
          <t>periodically check linked wallets on-chain</t>
        </is>
      </c>
      <c r="F25" s="44" t="inlineStr">
        <is>
          <t>ranking only counts NFTs still held in a verified wallet</t>
        </is>
      </c>
      <c r="G25" s="45">
        <f>IF(D25="","","As a "&amp;D25&amp;", I want to "&amp;E25&amp;" so that "&amp;F25&amp;".")</f>
        <v/>
      </c>
      <c r="H25" s="45" t="inlineStr">
        <is>
          <t>Rule-Based:
- The system checks every linked non-custodial wallet on a scheduled basis.
- If an NFT is no longer in the linked wallet, it is removed from the owner's Ranking and Directory profile.
- Each change found by the check is written to the Audit Log.</t>
        </is>
      </c>
      <c r="I25" s="45" t="inlineStr">
        <is>
          <t>FR-034. ⚠ TBD: check frequency.</t>
        </is>
      </c>
      <c r="J25" s="41" t="n">
        <v>3</v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15" customHeight="1">
      <c r="A26" s="41" t="n">
        <v>20</v>
      </c>
      <c r="B26" s="42" t="inlineStr">
        <is>
          <t>US-TN10</t>
        </is>
      </c>
      <c r="C26" s="43" t="inlineStr">
        <is>
          <t>TITLE &amp; NFT</t>
        </is>
      </c>
      <c r="D26" s="44" t="inlineStr">
        <is>
          <t>Company / Individual (buyer)</t>
        </is>
      </c>
      <c r="E26" s="44" t="inlineStr">
        <is>
          <t>be refunded when my payment went through but the NFT could not be issued</t>
        </is>
      </c>
      <c r="F26" s="44" t="inlineStr">
        <is>
          <t>I am never charged for a Title I did not receive</t>
        </is>
      </c>
      <c r="G26" s="45">
        <f>IF(D26="","","As a "&amp;D26&amp;", I want to "&amp;E26&amp;" so that "&amp;F26&amp;".")</f>
        <v/>
      </c>
      <c r="H26" s="45" t="inlineStr">
        <is>
          <t>Scenario 1 – Mint fails after payment
- Given the payment was confirmed
- When minting (or the creation of the custodial wallet) fails
- Then the system cancels the order, credits no points and returns any points used in the order
- And sends a refund request for the full amount to the Payment Gateway immediately
- And tells the buyer "We could not issue your Title. A full refund has been requested to your original card. Your bank usually takes 5–10 business days to show it."
- And writes an Audit Log entry. There is no automatic retry.
Scenario 2 – Refund request fails
- Given a refund request was sent after a mint failure
- When the Payment Gateway rejects it or does not answer
- Then the system notifies the Admin to refund manually and logs the event.
Scenario 3 – Gift
- Given the failed order was a gift
- When the refund is requested
- Then the recipient is not notified, because no NFT was issued.</t>
        </is>
      </c>
      <c r="I26" s="45" t="inlineStr">
        <is>
          <t>FR-035, BR-11, BR-12. ⚠ Finance to confirm the refund wording and processing time (BRD Appendix). 5–10 business days is when the card issuer shows the money; it is not a PW commitment.</t>
        </is>
      </c>
      <c r="J26" s="41" t="n">
        <v>3</v>
      </c>
    </row>
    <row r="27" ht="165" customHeight="1">
      <c r="A27" s="41" t="n">
        <v>21</v>
      </c>
      <c r="B27" s="42" t="inlineStr">
        <is>
          <t>US-PT01</t>
        </is>
      </c>
      <c r="C27" s="43" t="inlineStr">
        <is>
          <t>POINTS / PRICING / DISCOUNT</t>
        </is>
      </c>
      <c r="D27" s="44" t="inlineStr">
        <is>
          <t>Company / Individual</t>
        </is>
      </c>
      <c r="E27" s="44" t="inlineStr">
        <is>
          <t>view the Title price table by Class</t>
        </is>
      </c>
      <c r="F27" s="44" t="inlineStr">
        <is>
          <t>I understand what I will pay before purchasing</t>
        </is>
      </c>
      <c r="G27" s="45">
        <f>IF(D27="","","As a "&amp;D27&amp;", I want to "&amp;E27&amp;" so that "&amp;F27&amp;".")</f>
        <v/>
      </c>
      <c r="H27" s="45" t="inlineStr">
        <is>
          <t>Scenario 1 – Logged-in user
- Given the user is logged in and has a Class
- When the user opens the Titles
- Then the system shows the price of each Title for the user's own Class in CHF (an Individual is Class 0).
Scenario 2 – Visitor (not logged in)
- Given the visitor is not logged in
- When the visitor opens the Titles on the Landing Page
- Then the Titles are listed without prices
- And "Purchase a Title" asks the visitor to log in.</t>
        </is>
      </c>
      <c r="I27" s="45" t="inlineStr">
        <is>
          <t>FR-011, BR-01.</t>
        </is>
      </c>
      <c r="J27" s="41" t="n">
        <v>2</v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5" customHeight="1">
      <c r="A28" s="41" t="n">
        <v>22</v>
      </c>
      <c r="B28" s="42" t="inlineStr">
        <is>
          <t>US-PT02</t>
        </is>
      </c>
      <c r="C28" s="43" t="inlineStr">
        <is>
          <t>POINTS / PRICING / DISCOUNT</t>
        </is>
      </c>
      <c r="D28" s="44" t="inlineStr">
        <is>
          <t>PW Platform (system)</t>
        </is>
      </c>
      <c r="E28" s="44" t="inlineStr">
        <is>
          <t>calculate the Title price from the buyer's Class</t>
        </is>
      </c>
      <c r="F28" s="44" t="inlineStr">
        <is>
          <t>every buyer is charged the correct amount</t>
        </is>
      </c>
      <c r="G28" s="45">
        <f>IF(D28="","","As a "&amp;D28&amp;", I want to "&amp;E28&amp;" so that "&amp;F28&amp;".")</f>
        <v/>
      </c>
      <c r="H28" s="45" t="inlineStr">
        <is>
          <t>Rule-Based:
- Base price = price of the selected Title for the buyer's Class (from the price table).
- If the buyer is eligible for the Year-2 discount, the discount is 20% of the base price (US-PT03); points used (US-PT06) are deducted next.
- The price summary shows base price, discount (if any), points used (if any) and the total in CHF before "Confirm &amp; Pay"; the total is never below 0.
- For a Gift, the price is based on the BUYER's Class.
- All amounts are stored and displayed consistently (NFR-010).</t>
        </is>
      </c>
      <c r="I28" s="45" t="inlineStr">
        <is>
          <t>FR-016, BR-01, BR-02, BR-04. An Individual is priced as Class 0. A gift is priced on the BUYER's Class.</t>
        </is>
      </c>
      <c r="J28" s="41" t="n">
        <v>5</v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80" customHeight="1">
      <c r="A29" s="41" t="n">
        <v>23</v>
      </c>
      <c r="B29" s="42" t="inlineStr">
        <is>
          <t>US-PT03</t>
        </is>
      </c>
      <c r="C29" s="43" t="inlineStr">
        <is>
          <t>POINTS / PRICING / DISCOUNT</t>
        </is>
      </c>
      <c r="D29" s="44" t="inlineStr">
        <is>
          <t>Returning customer</t>
        </is>
      </c>
      <c r="E29" s="44" t="inlineStr">
        <is>
          <t>automatically receive a 20% discount from my second year</t>
        </is>
      </c>
      <c r="F29" s="44" t="inlineStr">
        <is>
          <t>I am rewarded for staying with PW</t>
        </is>
      </c>
      <c r="G29" s="45">
        <f>IF(D29="","","As a "&amp;D29&amp;", I want to "&amp;E29&amp;" so that "&amp;F29&amp;".")</f>
        <v/>
      </c>
      <c r="H29" s="45" t="inlineStr">
        <is>
          <t>Scenario 1 – Eligible
- Given the account has been active for at least 2 years since KYC approval
- And the point balance is at least 1,000 points
- When the user reaches the price summary
- Then the system applies a 20% discount and shows "Year-2 loyalty discount –20%".
Scenario 2 – Not eligible
- Given either condition is not met
- When the user reaches the price summary
- Then no discount is applied
- And the system shows what is still missing (time or points).</t>
        </is>
      </c>
      <c r="I29" s="45" t="inlineStr">
        <is>
          <t>FR-017, BR-02. ⚠ The 1,000-point threshold is a BA proposal for the Business to confirm (BRD Appendix).</t>
        </is>
      </c>
      <c r="J29" s="41" t="n">
        <v>2</v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0" customHeight="1">
      <c r="A30" s="41" t="n">
        <v>24</v>
      </c>
      <c r="B30" s="42" t="inlineStr">
        <is>
          <t>US-PT04</t>
        </is>
      </c>
      <c r="C30" s="43" t="inlineStr">
        <is>
          <t>POINTS / PRICING / DISCOUNT</t>
        </is>
      </c>
      <c r="D30" s="44" t="inlineStr">
        <is>
          <t>PW Platform (system)</t>
        </is>
      </c>
      <c r="E30" s="44" t="inlineStr">
        <is>
          <t>distribute reward points after each paid transaction</t>
        </is>
      </c>
      <c r="F30" s="44" t="inlineStr">
        <is>
          <t>buyers and recipients are rewarded and the system share is recorded</t>
        </is>
      </c>
      <c r="G30" s="45">
        <f>IF(D30="","","As a "&amp;D30&amp;", I want to "&amp;E30&amp;" so that "&amp;F30&amp;".")</f>
        <v/>
      </c>
      <c r="H30" s="45" t="inlineStr">
        <is>
          <t>Rule-Based:
- Points are 10% of the amount paid to the buyer, 10% to the recipient and 10% to the system pool.
- If buyer = recipient the buyer earns 10% once.
- Conversion: 1 CHF = 1 Point, rounded UP (e.g. 10% of 1,255 CHF = 125.5 → 126 points).
- Points are credited only after the NFT is minted successfully; Admin-granted Awards and failed orders give 0 points.
- Each credit creates a point transaction (account, amount, reason, reference, time) visible in point history.</t>
        </is>
      </c>
      <c r="I30" s="45" t="inlineStr">
        <is>
          <t>FR-018, BR-03.</t>
        </is>
      </c>
      <c r="J30" s="41" t="n">
        <v>5</v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80" customHeight="1">
      <c r="A31" s="41" t="n">
        <v>25</v>
      </c>
      <c r="B31" s="42" t="inlineStr">
        <is>
          <t>US-PT05</t>
        </is>
      </c>
      <c r="C31" s="43" t="inlineStr">
        <is>
          <t>POINTS / PRICING / DISCOUNT</t>
        </is>
      </c>
      <c r="D31" s="44" t="inlineStr">
        <is>
          <t>Company / Individual</t>
        </is>
      </c>
      <c r="E31" s="44" t="inlineStr">
        <is>
          <t>view my point balance and history</t>
        </is>
      </c>
      <c r="F31" s="44" t="inlineStr">
        <is>
          <t>I know how many points I have and where they came from</t>
        </is>
      </c>
      <c r="G31" s="45">
        <f>IF(D31="","","As a "&amp;D31&amp;", I want to "&amp;E31&amp;" so that "&amp;F31&amp;".")</f>
        <v/>
      </c>
      <c r="H31" s="45" t="inlineStr">
        <is>
          <t>Scenario 1 – User has points
- Given the user has point transactions
- When the user opens "Points"
- Then the system shows the current balance
- And a history list (date, type Earned / Used / Adjusted, amount, reference) sorted newest first.
Scenario 2 – No points yet
- Given the user has no point transactions
- When the user opens "Points"
- Then the balance shows 0 and the message "Earn points when you buy or receive a Title."</t>
        </is>
      </c>
      <c r="I31" s="45" t="inlineStr">
        <is>
          <t>FR-019.</t>
        </is>
      </c>
      <c r="J31" s="41" t="n">
        <v>2</v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05" customHeight="1">
      <c r="A32" s="41" t="n">
        <v>26</v>
      </c>
      <c r="B32" s="42" t="inlineStr">
        <is>
          <t>US-PT06</t>
        </is>
      </c>
      <c r="C32" s="43" t="inlineStr">
        <is>
          <t>POINTS / PRICING / DISCOUNT</t>
        </is>
      </c>
      <c r="D32" s="44" t="inlineStr">
        <is>
          <t>Company / Individual</t>
        </is>
      </c>
      <c r="E32" s="44" t="inlineStr">
        <is>
          <t>use my points</t>
        </is>
      </c>
      <c r="F32" s="44" t="inlineStr">
        <is>
          <t>I get value from the points I have earned</t>
        </is>
      </c>
      <c r="G32" s="45">
        <f>IF(D32="","","As a "&amp;D32&amp;", I want to "&amp;E32&amp;" so that "&amp;F32&amp;".")</f>
        <v/>
      </c>
      <c r="H32" s="45" t="inlineStr">
        <is>
          <t>Rule-Based:
- 1 point reduces the total by CHF 1, up to the available balance and up to the Title price after the Year-2 discount; the balance can never go below 0.
- Points are deducted only after the payment succeeds; each use creates a "Used" point transaction linked to the order.
- If the order is cancelled or the payment fails, the points stay in the balance.</t>
        </is>
      </c>
      <c r="I32" s="45" t="inlineStr">
        <is>
          <t>FR-020, BR-04.</t>
        </is>
      </c>
      <c r="J32" s="41" t="n">
        <v>3</v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15" customHeight="1">
      <c r="A33" s="41" t="n">
        <v>27</v>
      </c>
      <c r="B33" s="42" t="inlineStr">
        <is>
          <t>US-DR01</t>
        </is>
      </c>
      <c r="C33" s="43" t="inlineStr">
        <is>
          <t>DIRECTORY &amp; RANKING</t>
        </is>
      </c>
      <c r="D33" s="44" t="inlineStr">
        <is>
          <t>Public Verifying User</t>
        </is>
      </c>
      <c r="E33" s="44" t="inlineStr">
        <is>
          <t>browse and search the Public Directory</t>
        </is>
      </c>
      <c r="F33" s="44" t="inlineStr">
        <is>
          <t>I can find companies and individuals recognized by PW</t>
        </is>
      </c>
      <c r="G33" s="45">
        <f>IF(D33="","","As a "&amp;D33&amp;", I want to "&amp;E33&amp;" so that "&amp;F33&amp;".")</f>
        <v/>
      </c>
      <c r="H33" s="45" t="inlineStr">
        <is>
          <t>Scenario 1 – Browse
- Given the visitor opens the Public Directory (no login needed)
- When the page loads
- Then the system lists KYC-approved entities with name, jurisdiction, number of NFTs and rank, ordered by ranking.
Scenario 2 – Search, filter and sort
- Given the visitor is on the Directory
- When the visitor searches by name, jurisdiction or Title ID, filters by Title category, or sorts by ranking or name
- Then only matching entities are shown in the chosen order.
Scenario 3 – No result
- Given no entity matches
- When the search is run
- Then the system displays "No entity matches".
Scenario 4 – Member without approved KYC
- Given a member's KYC is In Review or Rejected
- When the visitor browses the Directory
- Then that member is not listed until the Admin approves the KYC request.</t>
        </is>
      </c>
      <c r="I33" s="45" t="inlineStr">
        <is>
          <t>FR-021.</t>
        </is>
      </c>
      <c r="J33" s="41" t="n">
        <v>4</v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55" customHeight="1">
      <c r="A34" s="41" t="n">
        <v>28</v>
      </c>
      <c r="B34" s="42" t="inlineStr">
        <is>
          <t>US-DR02</t>
        </is>
      </c>
      <c r="C34" s="43" t="inlineStr">
        <is>
          <t>DIRECTORY &amp; RANKING</t>
        </is>
      </c>
      <c r="D34" s="44" t="inlineStr">
        <is>
          <t>Public Verifying User</t>
        </is>
      </c>
      <c r="E34" s="44" t="inlineStr">
        <is>
          <t>view a profile and the NFTs it holds</t>
        </is>
      </c>
      <c r="F34" s="44" t="inlineStr">
        <is>
          <t>I can see what recognitions a company or individual has received</t>
        </is>
      </c>
      <c r="G34" s="45">
        <f>IF(D34="","","As a "&amp;D34&amp;", I want to "&amp;E34&amp;" so that "&amp;F34&amp;".")</f>
        <v/>
      </c>
      <c r="H34" s="45" t="inlineStr">
        <is>
          <t>Scenario 1 – View profile
- Given the visitor selects an entity in the Directory
- When the profile opens
- Then the system shows the public information (name, jurisdiction, registry number, "KYC verified" label, rank, number of NFTs)
- And lists its NFTs: name, ID, issue date, issuing authority PW and status
- And the profile link can be shared.
Scenario 2 – Revoked NFT on a profile
- Given one of the entity's NFTs has been revoked
- When the visitor views the profile
- Then that NFT is labelled "Revoked" and no longer counts toward the rank.
Scenario 3 – Profile with no NFTs
- Given the entity holds no NFT
- When the visitor opens the profile
- Then the NFT section shows that the entity has no Titles yet.</t>
        </is>
      </c>
      <c r="I34" s="45" t="inlineStr">
        <is>
          <t>FR-022, FR-023. NFTs in an unlinked wallet are not shown (BR-05).</t>
        </is>
      </c>
      <c r="J34" s="41" t="n">
        <v>3</v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55" customHeight="1">
      <c r="A35" s="41" t="n">
        <v>29</v>
      </c>
      <c r="B35" s="42" t="inlineStr">
        <is>
          <t>US-DR03</t>
        </is>
      </c>
      <c r="C35" s="43" t="inlineStr">
        <is>
          <t>DIRECTORY &amp; RANKING</t>
        </is>
      </c>
      <c r="D35" s="44" t="inlineStr">
        <is>
          <t>Public Verifying User</t>
        </is>
      </c>
      <c r="E35" s="44" t="inlineStr">
        <is>
          <t>verify an NFT on-chain</t>
        </is>
      </c>
      <c r="F35" s="44" t="inlineStr">
        <is>
          <t>I can confirm it is genuine and issued by PW</t>
        </is>
      </c>
      <c r="G35" s="45">
        <f>IF(D35="","","As a "&amp;D35&amp;", I want to "&amp;E35&amp;" so that "&amp;F35&amp;".")</f>
        <v/>
      </c>
      <c r="H35" s="45" t="inlineStr">
        <is>
          <t>Scenario 1 – Valid
- Given the visitor opens Verify and enters a token ID (or opens it from a profile)
- When the token exists on-chain, was issued by PW's contract and is not revoked
- Then the system shows "Valid" with owner, type, category, issue date and transaction link.
Scenario 2 – Revoked
- Given the token was issued by PW but has been revoked
- When the visitor verifies it
- Then the system shows "Revoked" with the revocation date.
Scenario 3 – Invalid
- Given the token does not exist or was not issued by PW
- When the visitor verifies it
- Then the system shows "Invalid – this NFT was not issued by PW."</t>
        </is>
      </c>
      <c r="I35" s="45" t="inlineStr">
        <is>
          <t>FR-024, NFR-005. The result returns within 5 seconds.</t>
        </is>
      </c>
      <c r="J35" s="41" t="n">
        <v>3</v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5" customHeight="1">
      <c r="A36" s="41" t="n">
        <v>30</v>
      </c>
      <c r="B36" s="42" t="inlineStr">
        <is>
          <t>US-DR04</t>
        </is>
      </c>
      <c r="C36" s="43" t="inlineStr">
        <is>
          <t>DIRECTORY &amp; RANKING</t>
        </is>
      </c>
      <c r="D36" s="44" t="inlineStr">
        <is>
          <t>PW Platform (system)</t>
        </is>
      </c>
      <c r="E36" s="44" t="inlineStr">
        <is>
          <t>calculate the ranking automatically</t>
        </is>
      </c>
      <c r="F36" s="44" t="inlineStr">
        <is>
          <t>the Directory always reflects each account's real standing</t>
        </is>
      </c>
      <c r="G36" s="45">
        <f>IF(D36="","","As a "&amp;D36&amp;", I want to "&amp;E36&amp;" so that "&amp;F36&amp;".")</f>
        <v/>
      </c>
      <c r="H36" s="45" t="inlineStr">
        <is>
          <t>Rule-Based:
- Rank is ordered by the total number of counted NFTs, highest first.
- Every NFT counts equally (an Award counts like a Distinction); revoked NFTs are not counted.
- An NFT counts only while it is in the PW custodial wallet or in a linked wallet verified by signature; NFTs in an unlinked wallet are not counted.
- When two entities have the same number, registered members are listed first.
- Ranking is recalculated after every purchase, gift, Award, revoke, unlink and when an NFT leaves a linked wallet.</t>
        </is>
      </c>
      <c r="I36" s="45" t="inlineStr">
        <is>
          <t>FR-025, BR-05.</t>
        </is>
      </c>
      <c r="J36" s="41" t="n">
        <v>5</v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85" customHeight="1">
      <c r="A37" s="41" t="n">
        <v>31</v>
      </c>
      <c r="B37" s="42" t="inlineStr">
        <is>
          <t>US-AD01</t>
        </is>
      </c>
      <c r="C37" s="43" t="inlineStr">
        <is>
          <t>ADMINISTRATION</t>
        </is>
      </c>
      <c r="D37" s="44" t="inlineStr">
        <is>
          <t>PW Admin</t>
        </is>
      </c>
      <c r="E37" s="44" t="inlineStr">
        <is>
          <t>review KYC submissions and approve or reject them</t>
        </is>
      </c>
      <c r="F37" s="44" t="inlineStr">
        <is>
          <t>only verified entities can own and receive NFTs</t>
        </is>
      </c>
      <c r="G37" s="45">
        <f>IF(D37="","","As a "&amp;D37&amp;", I want to "&amp;E37&amp;" so that "&amp;F37&amp;".")</f>
        <v/>
      </c>
      <c r="H37" s="45" t="inlineStr">
        <is>
          <t>Scenario 1 – Approve
- Given a KYC request is "In Review"
- When the Admin checks the documents (and, if needed, corrects the Class) and clicks "Approve"
- Then KYC status = "Approved" and the Class is assigned (US-ON04)
- And the member sees the Approved result, can purchase Titles and is listed in the Directory.
Scenario 2 – Reject
- Given a KYC request is "In Review"
- When the Admin clicks "Reject" and selects/enters a reason (required)
- Then KYC status = "Rejected" and the reason is shown to the member
- And the member can re-submit without limit.
Scenario 3 – Reject without reason
- Given the Admin clicks "Reject"
- When no reason is provided
- Then the system blocks the action with "Reason is required."
- Rule: every decision is written to the Audit Log (KYC_APPROVE / KYC_REJECT).</t>
        </is>
      </c>
      <c r="I37" s="45" t="inlineStr">
        <is>
          <t>FR-004, BR-09.</t>
        </is>
      </c>
      <c r="J37" s="41" t="n">
        <v>3</v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90" customHeight="1">
      <c r="A38" s="41" t="n">
        <v>32</v>
      </c>
      <c r="B38" s="42" t="inlineStr">
        <is>
          <t>US-AD02</t>
        </is>
      </c>
      <c r="C38" s="43" t="inlineStr">
        <is>
          <t>ADMINISTRATION</t>
        </is>
      </c>
      <c r="D38" s="44" t="inlineStr">
        <is>
          <t>PW Admin</t>
        </is>
      </c>
      <c r="E38" s="44" t="inlineStr">
        <is>
          <t>grant an Award to a verified company or individual</t>
        </is>
      </c>
      <c r="F38" s="44" t="inlineStr">
        <is>
          <t>PW can honor outstanding partners with a soulbound Award NFT</t>
        </is>
      </c>
      <c r="G38" s="45">
        <f>IF(D38="","","As a "&amp;D38&amp;", I want to "&amp;E38&amp;" so that "&amp;F38&amp;".")</f>
        <v/>
      </c>
      <c r="H38" s="45" t="inlineStr">
        <is>
          <t>Scenario 1 – Grant successfully
- Given the Admin opens "Grant Award"
- When the Admin selects a recipient whose KYC is Approved, chooses the Award category (Investor / Philanthropist / Bridge), enters the citation and confirms
- Then the system mints a soulbound Award NFT directly to the recipient (Active)
- And credits 0 points, updates Ranking, notifies the recipient and writes an Audit Log entry.
Scenario 2 – Recipient not KYC-verified
- Given the selected recipient's KYC is not Approved
- When the Admin tries to grant
- Then the system blocks it with "KYC not verified" and does not grant the Award
Scenario 3 – Recipient has no wallet
- Given the recipient is KYC-approved and has no PW wallet
- When the Admin grants the Award
- Then the system creates the recipient's custodial wallet and mints the Award to it.
Scenario 4 – Minting fails
- Given the Admin has confirmed the grant
- When the blockchain call fails
- Then the system shows "Award could not be issued. Please try again." and no Award is shown as Active.</t>
        </is>
      </c>
      <c r="I38" s="45" t="inlineStr">
        <is>
          <t>FR-026, FR-007, BR-08. Award uses the same 3 categories as Titles but is free and soulbound (BR-06).</t>
        </is>
      </c>
      <c r="J38" s="41" t="n">
        <v>4</v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45" customHeight="1">
      <c r="A39" s="41" t="n">
        <v>33</v>
      </c>
      <c r="B39" s="42" t="inlineStr">
        <is>
          <t>US-AD03</t>
        </is>
      </c>
      <c r="C39" s="43" t="inlineStr">
        <is>
          <t>ADMINISTRATION</t>
        </is>
      </c>
      <c r="D39" s="44" t="inlineStr">
        <is>
          <t>PW Admin</t>
        </is>
      </c>
      <c r="E39" s="44" t="inlineStr">
        <is>
          <t>revoke an NFT (Distinction or Award)</t>
        </is>
      </c>
      <c r="F39" s="44" t="inlineStr">
        <is>
          <t>invalid or misused recognitions are no longer shown as valid</t>
        </is>
      </c>
      <c r="G39" s="45">
        <f>IF(D39="","","As a "&amp;D39&amp;", I want to "&amp;E39&amp;" so that "&amp;F39&amp;".")</f>
        <v/>
      </c>
      <c r="H39" s="45" t="inlineStr">
        <is>
          <t>Scenario 1 – Revoke successfully
- Given the Admin opens "Revoke NFT" and finds an Active NFT by token ID or owner
- When the Admin selects a reason (required), optionally adds a note (max 500 characters), ticks the confirmation checkbox and clicks "Revoke NFT"
- Then the NFT status = "Revoked" (irreversible)
- And Verify returns "Revoked", the owner is notified and an Audit Log entry is written.
Scenario 2 – Missing reason or confirmation
- Given the reason is empty or the checkbox is not ticked
- When the Admin clicks "Revoke NFT"
- Then the button stays disabled / the system shows the missing field.
Scenario 3 – Non-admin
- Given a user without the Admin role
- When they try to access Revoke NFT
- Then access is denied.
Scenario 4 – On-chain update fails
- Given the Admin confirmed the revoke
- When the on-chain update fails
- Then the NFT status does not change and the Admin sees an error.</t>
        </is>
      </c>
      <c r="I39" s="45" t="inlineStr">
        <is>
          <t>FR-027, BR-13. Only Admin can revoke.</t>
        </is>
      </c>
      <c r="J39" s="41" t="n">
        <v>4</v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5" customHeight="1">
      <c r="A40" s="41" t="n">
        <v>34</v>
      </c>
      <c r="B40" s="42" t="inlineStr">
        <is>
          <t>US-AD04</t>
        </is>
      </c>
      <c r="C40" s="43" t="inlineStr">
        <is>
          <t>ADMINISTRATION</t>
        </is>
      </c>
      <c r="D40" s="44" t="inlineStr">
        <is>
          <t>PW Admin</t>
        </is>
      </c>
      <c r="E40" s="44" t="inlineStr">
        <is>
          <t>manually adjust a user's points</t>
        </is>
      </c>
      <c r="F40" s="44" t="inlineStr">
        <is>
          <t>I can correct errors and handle exceptions</t>
        </is>
      </c>
      <c r="G40" s="45">
        <f>IF(D40="","","As a "&amp;D40&amp;", I want to "&amp;E40&amp;" so that "&amp;F40&amp;".")</f>
        <v/>
      </c>
      <c r="H40" s="45" t="inlineStr">
        <is>
          <t>Scenario 1 – Adjust successfully
- Given the Admin opens a user's point account
- When the Admin enters a positive or negative amount and a reason (required) and confirms
- Then the balance is updated and a point transaction of type "Adjusted" is created
- And an Audit Log entry records admin, user, old balance, new balance, reason and time.
Scenario 2 – Would make balance negative
- Given the deduction is larger than the current balance
- When the Admin confirms
- Then the system blocks it with "Balance cannot go below 0."</t>
        </is>
      </c>
      <c r="I40" s="45" t="inlineStr">
        <is>
          <t>FR-028.</t>
        </is>
      </c>
      <c r="J40" s="41" t="n">
        <v>2</v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55" customHeight="1">
      <c r="A41" s="41" t="n">
        <v>35</v>
      </c>
      <c r="B41" s="42" t="inlineStr">
        <is>
          <t>US-AD05</t>
        </is>
      </c>
      <c r="C41" s="43" t="inlineStr">
        <is>
          <t>ADMINISTRATION</t>
        </is>
      </c>
      <c r="D41" s="44" t="inlineStr">
        <is>
          <t>PW Admin</t>
        </is>
      </c>
      <c r="E41" s="44" t="inlineStr">
        <is>
          <t>view and filter the Audit Logs</t>
        </is>
      </c>
      <c r="F41" s="44" t="inlineStr">
        <is>
          <t>every important action can be traced for compliance</t>
        </is>
      </c>
      <c r="G41" s="45">
        <f>IF(D41="","","As a "&amp;D41&amp;", I want to "&amp;E41&amp;" so that "&amp;F41&amp;".")</f>
        <v/>
      </c>
      <c r="H41" s="45" t="inlineStr">
        <is>
          <t>Scenario 1 – View logs
- Given the Admin opens "Audit Logs"
- When the page loads
- Then the system lists entries (time, signer, action, target, reason, hash) newest first
- And entries are read-only (cannot be edited or deleted).
Scenario 2 – Filter
- Given the Admin is on Audit Logs
- When the Admin filters by date range, signer, action type (for example KYC, Mint, Transfer, Revoke, Points) or searches by target
- Then only matching entries are shown.
Scenario 3 – No result
- Given no entry matches
- When the filter is applied
- Then the system shows that no entry matches</t>
        </is>
      </c>
      <c r="I41" s="45" t="inlineStr">
        <is>
          <t>FR-029, NFR-002.</t>
        </is>
      </c>
      <c r="J41" s="41" t="n">
        <v>3</v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405" customHeight="1">
      <c r="A42" s="41" t="n">
        <v>36</v>
      </c>
      <c r="B42" s="42" t="inlineStr">
        <is>
          <t>US-AI01</t>
        </is>
      </c>
      <c r="C42" s="43" t="inlineStr">
        <is>
          <t>AI ASSISTANT</t>
        </is>
      </c>
      <c r="D42" s="44" t="inlineStr">
        <is>
          <t>Company / Individual / Visitor</t>
        </is>
      </c>
      <c r="E42" s="44" t="inlineStr">
        <is>
          <t>ask the AI Assistant questions about PW, my NFTs and which Title fits me</t>
        </is>
      </c>
      <c r="F42" s="44" t="inlineStr">
        <is>
          <t>I get guidance quickly without contacting support</t>
        </is>
      </c>
      <c r="G42" s="45">
        <f>IF(D42="","","As a "&amp;D42&amp;", I want to "&amp;E42&amp;" so that "&amp;F42&amp;".")</f>
        <v/>
      </c>
      <c r="H42" s="45" t="inlineStr">
        <is>
          <t>Scenario 1 – Platform question
- Given the user opens the AI Assistant
- When the user asks a question about PW (e.g. "How do points work?")
- Then the Assistant answers within 2–5 seconds under normal load.
Scenario 2 – NFT lookup
- Given the user is logged in
- When the user asks about one of their NFTs
- Then the Assistant returns that NFT's details (type, status, custody, transfer availability)
- And never shows another user's private data.
Scenario 3 – Title recommendation
- Given the user describes their business activity
- When the user asks which Title fits
- Then the Assistant suggests one of Philanthropist / Investor / Bridge with a short reason.
Scenario 4 – Out-of-scope question
- Given the question is not related to PW
- When the user sends it
- Then the Assistant replies that it can only help with PW topics.
Scenario 5 – Advice the Assistant does not give
- Given the user asks for investment, legal or tax advice
- When the user sends the question
- Then the Assistant politely refuses and says it can only explain PW.</t>
        </is>
      </c>
      <c r="I42" s="45" t="inlineStr">
        <is>
          <t>FR-030, NFR-001. Scope decided (BRD Appendix): answers from the platform documentation, NFT lookup (own NFTs and public entity data), guidance and Title recommendations by purpose.</t>
        </is>
      </c>
      <c r="J42" s="41" t="n">
        <v>5</v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6" t="n"/>
      <c r="D43" s="1" t="n"/>
      <c r="E43" s="1" t="n"/>
      <c r="F43" s="1" t="n"/>
      <c r="G43" s="1" t="n"/>
      <c r="H43" s="3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6" t="n"/>
      <c r="D44" s="1" t="n"/>
      <c r="E44" s="1" t="n"/>
      <c r="F44" s="1" t="n"/>
      <c r="G44" s="46" t="inlineStr">
        <is>
          <t>Total acceptance criteria</t>
        </is>
      </c>
      <c r="H44" s="3" t="n"/>
      <c r="I44" s="1" t="n"/>
      <c r="J44" s="46">
        <f>SUM(J7:J43)</f>
        <v/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47" t="inlineStr">
        <is>
          <t>Legend: ⚠ TBD = parameter still to be confirmed (see BRD Appendix). Rule-Based rows count each rule line; Scenario rows count scenarios.</t>
        </is>
      </c>
      <c r="B45" s="1" t="n"/>
      <c r="C45" s="16" t="n"/>
      <c r="D45" s="1" t="n"/>
      <c r="E45" s="1" t="n"/>
      <c r="F45" s="1" t="n"/>
      <c r="G45" s="1" t="n"/>
      <c r="H45" s="3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6" t="n"/>
      <c r="D46" s="1" t="n"/>
      <c r="E46" s="1" t="n"/>
      <c r="F46" s="1" t="n"/>
      <c r="G46" s="1" t="n"/>
      <c r="H46" s="3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6" t="n"/>
      <c r="D47" s="1" t="n"/>
      <c r="E47" s="1" t="n"/>
      <c r="F47" s="1" t="n"/>
      <c r="G47" s="1" t="n"/>
      <c r="H47" s="3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6" t="n"/>
      <c r="D48" s="1" t="n"/>
      <c r="E48" s="1" t="n"/>
      <c r="F48" s="1" t="n"/>
      <c r="G48" s="1" t="n"/>
      <c r="H48" s="3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6" t="n"/>
      <c r="D49" s="1" t="n"/>
      <c r="E49" s="1" t="n"/>
      <c r="F49" s="1" t="n"/>
      <c r="G49" s="1" t="n"/>
      <c r="H49" s="3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6" t="n"/>
      <c r="D50" s="1" t="n"/>
      <c r="E50" s="1" t="n"/>
      <c r="F50" s="1" t="n"/>
      <c r="G50" s="1" t="n"/>
      <c r="H50" s="3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6" t="n"/>
      <c r="D51" s="1" t="n"/>
      <c r="E51" s="1" t="n"/>
      <c r="F51" s="1" t="n"/>
      <c r="G51" s="1" t="n"/>
      <c r="H51" s="3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6" t="n"/>
      <c r="D52" s="1" t="n"/>
      <c r="E52" s="1" t="n"/>
      <c r="F52" s="1" t="n"/>
      <c r="G52" s="1" t="n"/>
      <c r="H52" s="3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6" t="n"/>
      <c r="D53" s="1" t="n"/>
      <c r="E53" s="1" t="n"/>
      <c r="F53" s="1" t="n"/>
      <c r="G53" s="1" t="n"/>
      <c r="H53" s="3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6" t="n"/>
      <c r="D54" s="1" t="n"/>
      <c r="E54" s="1" t="n"/>
      <c r="F54" s="1" t="n"/>
      <c r="G54" s="1" t="n"/>
      <c r="H54" s="3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6" t="n"/>
      <c r="D55" s="1" t="n"/>
      <c r="E55" s="1" t="n"/>
      <c r="F55" s="1" t="n"/>
      <c r="G55" s="1" t="n"/>
      <c r="H55" s="3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6" t="n"/>
      <c r="D56" s="1" t="n"/>
      <c r="E56" s="1" t="n"/>
      <c r="F56" s="1" t="n"/>
      <c r="G56" s="1" t="n"/>
      <c r="H56" s="3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6" t="n"/>
      <c r="D57" s="1" t="n"/>
      <c r="E57" s="1" t="n"/>
      <c r="F57" s="1" t="n"/>
      <c r="G57" s="1" t="n"/>
      <c r="H57" s="3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6" t="n"/>
      <c r="D58" s="1" t="n"/>
      <c r="E58" s="1" t="n"/>
      <c r="F58" s="1" t="n"/>
      <c r="G58" s="1" t="n"/>
      <c r="H58" s="3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6" t="n"/>
      <c r="D59" s="1" t="n"/>
      <c r="E59" s="1" t="n"/>
      <c r="F59" s="1" t="n"/>
      <c r="G59" s="1" t="n"/>
      <c r="H59" s="3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6" t="n"/>
      <c r="D60" s="1" t="n"/>
      <c r="E60" s="1" t="n"/>
      <c r="F60" s="1" t="n"/>
      <c r="G60" s="1" t="n"/>
      <c r="H60" s="3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6" t="n"/>
      <c r="D61" s="1" t="n"/>
      <c r="E61" s="1" t="n"/>
      <c r="F61" s="1" t="n"/>
      <c r="G61" s="1" t="n"/>
      <c r="H61" s="3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6" t="n"/>
      <c r="D62" s="1" t="n"/>
      <c r="E62" s="1" t="n"/>
      <c r="F62" s="1" t="n"/>
      <c r="G62" s="1" t="n"/>
      <c r="H62" s="3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6" t="n"/>
      <c r="D63" s="1" t="n"/>
      <c r="E63" s="1" t="n"/>
      <c r="F63" s="1" t="n"/>
      <c r="G63" s="1" t="n"/>
      <c r="H63" s="3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6" t="n"/>
      <c r="D64" s="1" t="n"/>
      <c r="E64" s="1" t="n"/>
      <c r="F64" s="1" t="n"/>
      <c r="G64" s="1" t="n"/>
      <c r="H64" s="3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6" t="n"/>
      <c r="D65" s="1" t="n"/>
      <c r="E65" s="1" t="n"/>
      <c r="F65" s="1" t="n"/>
      <c r="G65" s="1" t="n"/>
      <c r="H65" s="3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6" t="n"/>
      <c r="D66" s="1" t="n"/>
      <c r="E66" s="1" t="n"/>
      <c r="F66" s="1" t="n"/>
      <c r="G66" s="1" t="n"/>
      <c r="H66" s="3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6" t="n"/>
      <c r="D67" s="1" t="n"/>
      <c r="E67" s="1" t="n"/>
      <c r="F67" s="1" t="n"/>
      <c r="G67" s="1" t="n"/>
      <c r="H67" s="3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6" t="n"/>
      <c r="D68" s="1" t="n"/>
      <c r="E68" s="1" t="n"/>
      <c r="F68" s="1" t="n"/>
      <c r="G68" s="1" t="n"/>
      <c r="H68" s="3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6" t="n"/>
      <c r="D69" s="1" t="n"/>
      <c r="E69" s="1" t="n"/>
      <c r="F69" s="1" t="n"/>
      <c r="G69" s="1" t="n"/>
      <c r="H69" s="3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6" t="n"/>
      <c r="D70" s="1" t="n"/>
      <c r="E70" s="1" t="n"/>
      <c r="F70" s="1" t="n"/>
      <c r="G70" s="1" t="n"/>
      <c r="H70" s="3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6" t="n"/>
      <c r="D71" s="1" t="n"/>
      <c r="E71" s="1" t="n"/>
      <c r="F71" s="1" t="n"/>
      <c r="G71" s="1" t="n"/>
      <c r="H71" s="3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6" t="n"/>
      <c r="D72" s="1" t="n"/>
      <c r="E72" s="1" t="n"/>
      <c r="F72" s="1" t="n"/>
      <c r="G72" s="1" t="n"/>
      <c r="H72" s="3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6" t="n"/>
      <c r="D73" s="1" t="n"/>
      <c r="E73" s="1" t="n"/>
      <c r="F73" s="1" t="n"/>
      <c r="G73" s="1" t="n"/>
      <c r="H73" s="3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6" t="n"/>
      <c r="D74" s="1" t="n"/>
      <c r="E74" s="1" t="n"/>
      <c r="F74" s="1" t="n"/>
      <c r="G74" s="1" t="n"/>
      <c r="H74" s="3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6" t="n"/>
      <c r="D75" s="1" t="n"/>
      <c r="E75" s="1" t="n"/>
      <c r="F75" s="1" t="n"/>
      <c r="G75" s="1" t="n"/>
      <c r="H75" s="3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6" t="n"/>
      <c r="D76" s="1" t="n"/>
      <c r="E76" s="1" t="n"/>
      <c r="F76" s="1" t="n"/>
      <c r="G76" s="1" t="n"/>
      <c r="H76" s="3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6" t="n"/>
      <c r="D77" s="1" t="n"/>
      <c r="E77" s="1" t="n"/>
      <c r="F77" s="1" t="n"/>
      <c r="G77" s="1" t="n"/>
      <c r="H77" s="3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6" t="n"/>
      <c r="D78" s="1" t="n"/>
      <c r="E78" s="1" t="n"/>
      <c r="F78" s="1" t="n"/>
      <c r="G78" s="1" t="n"/>
      <c r="H78" s="3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6" t="n"/>
      <c r="D79" s="1" t="n"/>
      <c r="E79" s="1" t="n"/>
      <c r="F79" s="1" t="n"/>
      <c r="G79" s="1" t="n"/>
      <c r="H79" s="3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6" t="n"/>
      <c r="D80" s="1" t="n"/>
      <c r="E80" s="1" t="n"/>
      <c r="F80" s="1" t="n"/>
      <c r="G80" s="1" t="n"/>
      <c r="H80" s="3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6" t="n"/>
      <c r="D81" s="1" t="n"/>
      <c r="E81" s="1" t="n"/>
      <c r="F81" s="1" t="n"/>
      <c r="G81" s="1" t="n"/>
      <c r="H81" s="3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6" t="n"/>
      <c r="D82" s="1" t="n"/>
      <c r="E82" s="1" t="n"/>
      <c r="F82" s="1" t="n"/>
      <c r="G82" s="1" t="n"/>
      <c r="H82" s="3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6" t="n"/>
      <c r="D83" s="1" t="n"/>
      <c r="E83" s="1" t="n"/>
      <c r="F83" s="1" t="n"/>
      <c r="G83" s="1" t="n"/>
      <c r="H83" s="3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6" t="n"/>
      <c r="D84" s="1" t="n"/>
      <c r="E84" s="1" t="n"/>
      <c r="F84" s="1" t="n"/>
      <c r="G84" s="1" t="n"/>
      <c r="H84" s="3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6" t="n"/>
      <c r="D85" s="1" t="n"/>
      <c r="E85" s="1" t="n"/>
      <c r="F85" s="1" t="n"/>
      <c r="G85" s="1" t="n"/>
      <c r="H85" s="3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6" t="n"/>
      <c r="D86" s="1" t="n"/>
      <c r="E86" s="1" t="n"/>
      <c r="F86" s="1" t="n"/>
      <c r="G86" s="1" t="n"/>
      <c r="H86" s="3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6" t="n"/>
      <c r="D87" s="1" t="n"/>
      <c r="E87" s="1" t="n"/>
      <c r="F87" s="1" t="n"/>
      <c r="G87" s="1" t="n"/>
      <c r="H87" s="3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6" t="n"/>
      <c r="D88" s="1" t="n"/>
      <c r="E88" s="1" t="n"/>
      <c r="F88" s="1" t="n"/>
      <c r="G88" s="1" t="n"/>
      <c r="H88" s="3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6" t="n"/>
      <c r="D89" s="1" t="n"/>
      <c r="E89" s="1" t="n"/>
      <c r="F89" s="1" t="n"/>
      <c r="G89" s="1" t="n"/>
      <c r="H89" s="3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6" t="n"/>
      <c r="D90" s="1" t="n"/>
      <c r="E90" s="1" t="n"/>
      <c r="F90" s="1" t="n"/>
      <c r="G90" s="1" t="n"/>
      <c r="H90" s="3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6" t="n"/>
      <c r="D91" s="1" t="n"/>
      <c r="E91" s="1" t="n"/>
      <c r="F91" s="1" t="n"/>
      <c r="G91" s="1" t="n"/>
      <c r="H91" s="3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6" t="n"/>
      <c r="D92" s="1" t="n"/>
      <c r="E92" s="1" t="n"/>
      <c r="F92" s="1" t="n"/>
      <c r="G92" s="1" t="n"/>
      <c r="H92" s="3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6" t="n"/>
      <c r="D93" s="1" t="n"/>
      <c r="E93" s="1" t="n"/>
      <c r="F93" s="1" t="n"/>
      <c r="G93" s="1" t="n"/>
      <c r="H93" s="3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6" t="n"/>
      <c r="D94" s="1" t="n"/>
      <c r="E94" s="1" t="n"/>
      <c r="F94" s="1" t="n"/>
      <c r="G94" s="1" t="n"/>
      <c r="H94" s="3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6" t="n"/>
      <c r="D95" s="1" t="n"/>
      <c r="E95" s="1" t="n"/>
      <c r="F95" s="1" t="n"/>
      <c r="G95" s="1" t="n"/>
      <c r="H95" s="3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6" t="n"/>
      <c r="D96" s="1" t="n"/>
      <c r="E96" s="1" t="n"/>
      <c r="F96" s="1" t="n"/>
      <c r="G96" s="1" t="n"/>
      <c r="H96" s="3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6" t="n"/>
      <c r="D97" s="1" t="n"/>
      <c r="E97" s="1" t="n"/>
      <c r="F97" s="1" t="n"/>
      <c r="G97" s="1" t="n"/>
      <c r="H97" s="3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6" t="n"/>
      <c r="D98" s="1" t="n"/>
      <c r="E98" s="1" t="n"/>
      <c r="F98" s="1" t="n"/>
      <c r="G98" s="1" t="n"/>
      <c r="H98" s="3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6" t="n"/>
      <c r="D99" s="1" t="n"/>
      <c r="E99" s="1" t="n"/>
      <c r="F99" s="1" t="n"/>
      <c r="G99" s="1" t="n"/>
      <c r="H99" s="3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6" t="n"/>
      <c r="D100" s="1" t="n"/>
      <c r="E100" s="1" t="n"/>
      <c r="F100" s="1" t="n"/>
      <c r="G100" s="1" t="n"/>
      <c r="H100" s="3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6" t="n"/>
      <c r="D101" s="1" t="n"/>
      <c r="E101" s="1" t="n"/>
      <c r="F101" s="1" t="n"/>
      <c r="G101" s="1" t="n"/>
      <c r="H101" s="3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6" t="n"/>
      <c r="D102" s="1" t="n"/>
      <c r="E102" s="1" t="n"/>
      <c r="F102" s="1" t="n"/>
      <c r="G102" s="1" t="n"/>
      <c r="H102" s="3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6" t="n"/>
      <c r="D103" s="1" t="n"/>
      <c r="E103" s="1" t="n"/>
      <c r="F103" s="1" t="n"/>
      <c r="G103" s="1" t="n"/>
      <c r="H103" s="3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6" t="n"/>
      <c r="D104" s="1" t="n"/>
      <c r="E104" s="1" t="n"/>
      <c r="F104" s="1" t="n"/>
      <c r="G104" s="1" t="n"/>
      <c r="H104" s="3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6" t="n"/>
      <c r="D105" s="1" t="n"/>
      <c r="E105" s="1" t="n"/>
      <c r="F105" s="1" t="n"/>
      <c r="G105" s="1" t="n"/>
      <c r="H105" s="3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6" t="n"/>
      <c r="D106" s="1" t="n"/>
      <c r="E106" s="1" t="n"/>
      <c r="F106" s="1" t="n"/>
      <c r="G106" s="1" t="n"/>
      <c r="H106" s="3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6" t="n"/>
      <c r="D107" s="1" t="n"/>
      <c r="E107" s="1" t="n"/>
      <c r="F107" s="1" t="n"/>
      <c r="G107" s="1" t="n"/>
      <c r="H107" s="3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6" t="n"/>
      <c r="D108" s="1" t="n"/>
      <c r="E108" s="1" t="n"/>
      <c r="F108" s="1" t="n"/>
      <c r="G108" s="1" t="n"/>
      <c r="H108" s="3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6" t="n"/>
      <c r="D109" s="1" t="n"/>
      <c r="E109" s="1" t="n"/>
      <c r="F109" s="1" t="n"/>
      <c r="G109" s="1" t="n"/>
      <c r="H109" s="3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6" t="n"/>
      <c r="D110" s="1" t="n"/>
      <c r="E110" s="1" t="n"/>
      <c r="F110" s="1" t="n"/>
      <c r="G110" s="1" t="n"/>
      <c r="H110" s="3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6" t="n"/>
      <c r="D111" s="1" t="n"/>
      <c r="E111" s="1" t="n"/>
      <c r="F111" s="1" t="n"/>
      <c r="G111" s="1" t="n"/>
      <c r="H111" s="3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6" t="n"/>
      <c r="D112" s="1" t="n"/>
      <c r="E112" s="1" t="n"/>
      <c r="F112" s="1" t="n"/>
      <c r="G112" s="1" t="n"/>
      <c r="H112" s="3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6" t="n"/>
      <c r="D113" s="1" t="n"/>
      <c r="E113" s="1" t="n"/>
      <c r="F113" s="1" t="n"/>
      <c r="G113" s="1" t="n"/>
      <c r="H113" s="3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6" t="n"/>
      <c r="D114" s="1" t="n"/>
      <c r="E114" s="1" t="n"/>
      <c r="F114" s="1" t="n"/>
      <c r="G114" s="1" t="n"/>
      <c r="H114" s="3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6" t="n"/>
      <c r="D115" s="1" t="n"/>
      <c r="E115" s="1" t="n"/>
      <c r="F115" s="1" t="n"/>
      <c r="G115" s="1" t="n"/>
      <c r="H115" s="3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6" t="n"/>
      <c r="D116" s="1" t="n"/>
      <c r="E116" s="1" t="n"/>
      <c r="F116" s="1" t="n"/>
      <c r="G116" s="1" t="n"/>
      <c r="H116" s="3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6" t="n"/>
      <c r="D117" s="1" t="n"/>
      <c r="E117" s="1" t="n"/>
      <c r="F117" s="1" t="n"/>
      <c r="G117" s="1" t="n"/>
      <c r="H117" s="3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6" t="n"/>
      <c r="D118" s="1" t="n"/>
      <c r="E118" s="1" t="n"/>
      <c r="F118" s="1" t="n"/>
      <c r="G118" s="1" t="n"/>
      <c r="H118" s="3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6" t="n"/>
      <c r="D119" s="1" t="n"/>
      <c r="E119" s="1" t="n"/>
      <c r="F119" s="1" t="n"/>
      <c r="G119" s="1" t="n"/>
      <c r="H119" s="3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6" t="n"/>
      <c r="D120" s="1" t="n"/>
      <c r="E120" s="1" t="n"/>
      <c r="F120" s="1" t="n"/>
      <c r="G120" s="1" t="n"/>
      <c r="H120" s="3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6" t="n"/>
      <c r="D121" s="1" t="n"/>
      <c r="E121" s="1" t="n"/>
      <c r="F121" s="1" t="n"/>
      <c r="G121" s="1" t="n"/>
      <c r="H121" s="3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6" t="n"/>
      <c r="D122" s="1" t="n"/>
      <c r="E122" s="1" t="n"/>
      <c r="F122" s="1" t="n"/>
      <c r="G122" s="1" t="n"/>
      <c r="H122" s="3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6" t="n"/>
      <c r="D123" s="1" t="n"/>
      <c r="E123" s="1" t="n"/>
      <c r="F123" s="1" t="n"/>
      <c r="G123" s="1" t="n"/>
      <c r="H123" s="3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6" t="n"/>
      <c r="D124" s="1" t="n"/>
      <c r="E124" s="1" t="n"/>
      <c r="F124" s="1" t="n"/>
      <c r="G124" s="1" t="n"/>
      <c r="H124" s="3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6" t="n"/>
      <c r="D125" s="1" t="n"/>
      <c r="E125" s="1" t="n"/>
      <c r="F125" s="1" t="n"/>
      <c r="G125" s="1" t="n"/>
      <c r="H125" s="3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6" t="n"/>
      <c r="D126" s="1" t="n"/>
      <c r="E126" s="1" t="n"/>
      <c r="F126" s="1" t="n"/>
      <c r="G126" s="1" t="n"/>
      <c r="H126" s="3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6" t="n"/>
      <c r="D127" s="1" t="n"/>
      <c r="E127" s="1" t="n"/>
      <c r="F127" s="1" t="n"/>
      <c r="G127" s="1" t="n"/>
      <c r="H127" s="3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6" t="n"/>
      <c r="D128" s="1" t="n"/>
      <c r="E128" s="1" t="n"/>
      <c r="F128" s="1" t="n"/>
      <c r="G128" s="1" t="n"/>
      <c r="H128" s="3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6" t="n"/>
      <c r="D129" s="1" t="n"/>
      <c r="E129" s="1" t="n"/>
      <c r="F129" s="1" t="n"/>
      <c r="G129" s="1" t="n"/>
      <c r="H129" s="3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6" t="n"/>
      <c r="D130" s="1" t="n"/>
      <c r="E130" s="1" t="n"/>
      <c r="F130" s="1" t="n"/>
      <c r="G130" s="1" t="n"/>
      <c r="H130" s="3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6" t="n"/>
      <c r="D131" s="1" t="n"/>
      <c r="E131" s="1" t="n"/>
      <c r="F131" s="1" t="n"/>
      <c r="G131" s="1" t="n"/>
      <c r="H131" s="3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6" t="n"/>
      <c r="D132" s="1" t="n"/>
      <c r="E132" s="1" t="n"/>
      <c r="F132" s="1" t="n"/>
      <c r="G132" s="1" t="n"/>
      <c r="H132" s="3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6" t="n"/>
      <c r="D133" s="1" t="n"/>
      <c r="E133" s="1" t="n"/>
      <c r="F133" s="1" t="n"/>
      <c r="G133" s="1" t="n"/>
      <c r="H133" s="3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6" t="n"/>
      <c r="D134" s="1" t="n"/>
      <c r="E134" s="1" t="n"/>
      <c r="F134" s="1" t="n"/>
      <c r="G134" s="1" t="n"/>
      <c r="H134" s="3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6" t="n"/>
      <c r="D135" s="1" t="n"/>
      <c r="E135" s="1" t="n"/>
      <c r="F135" s="1" t="n"/>
      <c r="G135" s="1" t="n"/>
      <c r="H135" s="3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6" t="n"/>
      <c r="D136" s="1" t="n"/>
      <c r="E136" s="1" t="n"/>
      <c r="F136" s="1" t="n"/>
      <c r="G136" s="1" t="n"/>
      <c r="H136" s="3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6" t="n"/>
      <c r="D137" s="1" t="n"/>
      <c r="E137" s="1" t="n"/>
      <c r="F137" s="1" t="n"/>
      <c r="G137" s="1" t="n"/>
      <c r="H137" s="3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6" t="n"/>
      <c r="D138" s="1" t="n"/>
      <c r="E138" s="1" t="n"/>
      <c r="F138" s="1" t="n"/>
      <c r="G138" s="1" t="n"/>
      <c r="H138" s="3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6" t="n"/>
      <c r="D139" s="1" t="n"/>
      <c r="E139" s="1" t="n"/>
      <c r="F139" s="1" t="n"/>
      <c r="G139" s="1" t="n"/>
      <c r="H139" s="3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6" t="n"/>
      <c r="D140" s="1" t="n"/>
      <c r="E140" s="1" t="n"/>
      <c r="F140" s="1" t="n"/>
      <c r="G140" s="1" t="n"/>
      <c r="H140" s="3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6" t="n"/>
      <c r="D141" s="1" t="n"/>
      <c r="E141" s="1" t="n"/>
      <c r="F141" s="1" t="n"/>
      <c r="G141" s="1" t="n"/>
      <c r="H141" s="3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6" t="n"/>
      <c r="D142" s="1" t="n"/>
      <c r="E142" s="1" t="n"/>
      <c r="F142" s="1" t="n"/>
      <c r="G142" s="1" t="n"/>
      <c r="H142" s="3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6" t="n"/>
      <c r="D143" s="1" t="n"/>
      <c r="E143" s="1" t="n"/>
      <c r="F143" s="1" t="n"/>
      <c r="G143" s="1" t="n"/>
      <c r="H143" s="3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6" t="n"/>
      <c r="D144" s="1" t="n"/>
      <c r="E144" s="1" t="n"/>
      <c r="F144" s="1" t="n"/>
      <c r="G144" s="1" t="n"/>
      <c r="H144" s="3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6" t="n"/>
      <c r="D145" s="1" t="n"/>
      <c r="E145" s="1" t="n"/>
      <c r="F145" s="1" t="n"/>
      <c r="G145" s="1" t="n"/>
      <c r="H145" s="3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6" t="n"/>
      <c r="D146" s="1" t="n"/>
      <c r="E146" s="1" t="n"/>
      <c r="F146" s="1" t="n"/>
      <c r="G146" s="1" t="n"/>
      <c r="H146" s="3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6" t="n"/>
      <c r="D147" s="1" t="n"/>
      <c r="E147" s="1" t="n"/>
      <c r="F147" s="1" t="n"/>
      <c r="G147" s="1" t="n"/>
      <c r="H147" s="3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6" t="n"/>
      <c r="D148" s="1" t="n"/>
      <c r="E148" s="1" t="n"/>
      <c r="F148" s="1" t="n"/>
      <c r="G148" s="1" t="n"/>
      <c r="H148" s="3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6" t="n"/>
      <c r="D149" s="1" t="n"/>
      <c r="E149" s="1" t="n"/>
      <c r="F149" s="1" t="n"/>
      <c r="G149" s="1" t="n"/>
      <c r="H149" s="3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6" t="n"/>
      <c r="D150" s="1" t="n"/>
      <c r="E150" s="1" t="n"/>
      <c r="F150" s="1" t="n"/>
      <c r="G150" s="1" t="n"/>
      <c r="H150" s="3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6" t="n"/>
      <c r="D151" s="1" t="n"/>
      <c r="E151" s="1" t="n"/>
      <c r="F151" s="1" t="n"/>
      <c r="G151" s="1" t="n"/>
      <c r="H151" s="3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6" t="n"/>
      <c r="D152" s="1" t="n"/>
      <c r="E152" s="1" t="n"/>
      <c r="F152" s="1" t="n"/>
      <c r="G152" s="1" t="n"/>
      <c r="H152" s="3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6" t="n"/>
      <c r="D153" s="1" t="n"/>
      <c r="E153" s="1" t="n"/>
      <c r="F153" s="1" t="n"/>
      <c r="G153" s="1" t="n"/>
      <c r="H153" s="3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6" t="n"/>
      <c r="D154" s="1" t="n"/>
      <c r="E154" s="1" t="n"/>
      <c r="F154" s="1" t="n"/>
      <c r="G154" s="1" t="n"/>
      <c r="H154" s="3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6" t="n"/>
      <c r="D155" s="1" t="n"/>
      <c r="E155" s="1" t="n"/>
      <c r="F155" s="1" t="n"/>
      <c r="G155" s="1" t="n"/>
      <c r="H155" s="3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6" t="n"/>
      <c r="D156" s="1" t="n"/>
      <c r="E156" s="1" t="n"/>
      <c r="F156" s="1" t="n"/>
      <c r="G156" s="1" t="n"/>
      <c r="H156" s="3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6" t="n"/>
      <c r="D157" s="1" t="n"/>
      <c r="E157" s="1" t="n"/>
      <c r="F157" s="1" t="n"/>
      <c r="G157" s="1" t="n"/>
      <c r="H157" s="3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6" t="n"/>
      <c r="D158" s="1" t="n"/>
      <c r="E158" s="1" t="n"/>
      <c r="F158" s="1" t="n"/>
      <c r="G158" s="1" t="n"/>
      <c r="H158" s="3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6" t="n"/>
      <c r="D159" s="1" t="n"/>
      <c r="E159" s="1" t="n"/>
      <c r="F159" s="1" t="n"/>
      <c r="G159" s="1" t="n"/>
      <c r="H159" s="3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6" t="n"/>
      <c r="D160" s="1" t="n"/>
      <c r="E160" s="1" t="n"/>
      <c r="F160" s="1" t="n"/>
      <c r="G160" s="1" t="n"/>
      <c r="H160" s="3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6" t="n"/>
      <c r="D161" s="1" t="n"/>
      <c r="E161" s="1" t="n"/>
      <c r="F161" s="1" t="n"/>
      <c r="G161" s="1" t="n"/>
      <c r="H161" s="3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6" t="n"/>
      <c r="D162" s="1" t="n"/>
      <c r="E162" s="1" t="n"/>
      <c r="F162" s="1" t="n"/>
      <c r="G162" s="1" t="n"/>
      <c r="H162" s="3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6" t="n"/>
      <c r="D163" s="1" t="n"/>
      <c r="E163" s="1" t="n"/>
      <c r="F163" s="1" t="n"/>
      <c r="G163" s="1" t="n"/>
      <c r="H163" s="3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6" t="n"/>
      <c r="D164" s="1" t="n"/>
      <c r="E164" s="1" t="n"/>
      <c r="F164" s="1" t="n"/>
      <c r="G164" s="1" t="n"/>
      <c r="H164" s="3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6" t="n"/>
      <c r="D165" s="1" t="n"/>
      <c r="E165" s="1" t="n"/>
      <c r="F165" s="1" t="n"/>
      <c r="G165" s="1" t="n"/>
      <c r="H165" s="3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6" t="n"/>
      <c r="D166" s="1" t="n"/>
      <c r="E166" s="1" t="n"/>
      <c r="F166" s="1" t="n"/>
      <c r="G166" s="1" t="n"/>
      <c r="H166" s="3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6" t="n"/>
      <c r="D167" s="1" t="n"/>
      <c r="E167" s="1" t="n"/>
      <c r="F167" s="1" t="n"/>
      <c r="G167" s="1" t="n"/>
      <c r="H167" s="3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6" t="n"/>
      <c r="D168" s="1" t="n"/>
      <c r="E168" s="1" t="n"/>
      <c r="F168" s="1" t="n"/>
      <c r="G168" s="1" t="n"/>
      <c r="H168" s="3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6" t="n"/>
      <c r="D169" s="1" t="n"/>
      <c r="E169" s="1" t="n"/>
      <c r="F169" s="1" t="n"/>
      <c r="G169" s="1" t="n"/>
      <c r="H169" s="3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6" t="n"/>
      <c r="D170" s="1" t="n"/>
      <c r="E170" s="1" t="n"/>
      <c r="F170" s="1" t="n"/>
      <c r="G170" s="1" t="n"/>
      <c r="H170" s="3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6" t="n"/>
      <c r="D171" s="1" t="n"/>
      <c r="E171" s="1" t="n"/>
      <c r="F171" s="1" t="n"/>
      <c r="G171" s="1" t="n"/>
      <c r="H171" s="3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6" t="n"/>
      <c r="D172" s="1" t="n"/>
      <c r="E172" s="1" t="n"/>
      <c r="F172" s="1" t="n"/>
      <c r="G172" s="1" t="n"/>
      <c r="H172" s="3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6" t="n"/>
      <c r="D173" s="1" t="n"/>
      <c r="E173" s="1" t="n"/>
      <c r="F173" s="1" t="n"/>
      <c r="G173" s="1" t="n"/>
      <c r="H173" s="3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6" t="n"/>
      <c r="D174" s="1" t="n"/>
      <c r="E174" s="1" t="n"/>
      <c r="F174" s="1" t="n"/>
      <c r="G174" s="1" t="n"/>
      <c r="H174" s="3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6" t="n"/>
      <c r="D175" s="1" t="n"/>
      <c r="E175" s="1" t="n"/>
      <c r="F175" s="1" t="n"/>
      <c r="G175" s="1" t="n"/>
      <c r="H175" s="3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6" t="n"/>
      <c r="D176" s="1" t="n"/>
      <c r="E176" s="1" t="n"/>
      <c r="F176" s="1" t="n"/>
      <c r="G176" s="1" t="n"/>
      <c r="H176" s="3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6" t="n"/>
      <c r="D177" s="1" t="n"/>
      <c r="E177" s="1" t="n"/>
      <c r="F177" s="1" t="n"/>
      <c r="G177" s="1" t="n"/>
      <c r="H177" s="3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6" t="n"/>
      <c r="D178" s="1" t="n"/>
      <c r="E178" s="1" t="n"/>
      <c r="F178" s="1" t="n"/>
      <c r="G178" s="1" t="n"/>
      <c r="H178" s="3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6" t="n"/>
      <c r="D179" s="1" t="n"/>
      <c r="E179" s="1" t="n"/>
      <c r="F179" s="1" t="n"/>
      <c r="G179" s="1" t="n"/>
      <c r="H179" s="3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6" t="n"/>
      <c r="D180" s="1" t="n"/>
      <c r="E180" s="1" t="n"/>
      <c r="F180" s="1" t="n"/>
      <c r="G180" s="1" t="n"/>
      <c r="H180" s="3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6" t="n"/>
      <c r="D181" s="1" t="n"/>
      <c r="E181" s="1" t="n"/>
      <c r="F181" s="1" t="n"/>
      <c r="G181" s="1" t="n"/>
      <c r="H181" s="3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6" t="n"/>
      <c r="D182" s="1" t="n"/>
      <c r="E182" s="1" t="n"/>
      <c r="F182" s="1" t="n"/>
      <c r="G182" s="1" t="n"/>
      <c r="H182" s="3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6" t="n"/>
      <c r="D183" s="1" t="n"/>
      <c r="E183" s="1" t="n"/>
      <c r="F183" s="1" t="n"/>
      <c r="G183" s="1" t="n"/>
      <c r="H183" s="3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6" t="n"/>
      <c r="D184" s="1" t="n"/>
      <c r="E184" s="1" t="n"/>
      <c r="F184" s="1" t="n"/>
      <c r="G184" s="1" t="n"/>
      <c r="H184" s="3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6" t="n"/>
      <c r="D185" s="1" t="n"/>
      <c r="E185" s="1" t="n"/>
      <c r="F185" s="1" t="n"/>
      <c r="G185" s="1" t="n"/>
      <c r="H185" s="3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6" t="n"/>
      <c r="D186" s="1" t="n"/>
      <c r="E186" s="1" t="n"/>
      <c r="F186" s="1" t="n"/>
      <c r="G186" s="1" t="n"/>
      <c r="H186" s="3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6" t="n"/>
      <c r="D187" s="1" t="n"/>
      <c r="E187" s="1" t="n"/>
      <c r="F187" s="1" t="n"/>
      <c r="G187" s="1" t="n"/>
      <c r="H187" s="3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6" t="n"/>
      <c r="D188" s="1" t="n"/>
      <c r="E188" s="1" t="n"/>
      <c r="F188" s="1" t="n"/>
      <c r="G188" s="1" t="n"/>
      <c r="H188" s="3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6" t="n"/>
      <c r="D189" s="1" t="n"/>
      <c r="E189" s="1" t="n"/>
      <c r="F189" s="1" t="n"/>
      <c r="G189" s="1" t="n"/>
      <c r="H189" s="3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6" t="n"/>
      <c r="D190" s="1" t="n"/>
      <c r="E190" s="1" t="n"/>
      <c r="F190" s="1" t="n"/>
      <c r="G190" s="1" t="n"/>
      <c r="H190" s="3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6" t="n"/>
      <c r="D191" s="1" t="n"/>
      <c r="E191" s="1" t="n"/>
      <c r="F191" s="1" t="n"/>
      <c r="G191" s="1" t="n"/>
      <c r="H191" s="3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6" t="n"/>
      <c r="D192" s="1" t="n"/>
      <c r="E192" s="1" t="n"/>
      <c r="F192" s="1" t="n"/>
      <c r="G192" s="1" t="n"/>
      <c r="H192" s="3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6" t="n"/>
      <c r="D193" s="1" t="n"/>
      <c r="E193" s="1" t="n"/>
      <c r="F193" s="1" t="n"/>
      <c r="G193" s="1" t="n"/>
      <c r="H193" s="3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6" t="n"/>
      <c r="D194" s="1" t="n"/>
      <c r="E194" s="1" t="n"/>
      <c r="F194" s="1" t="n"/>
      <c r="G194" s="1" t="n"/>
      <c r="H194" s="3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6" t="n"/>
      <c r="D195" s="1" t="n"/>
      <c r="E195" s="1" t="n"/>
      <c r="F195" s="1" t="n"/>
      <c r="G195" s="1" t="n"/>
      <c r="H195" s="3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6" t="n"/>
      <c r="D196" s="1" t="n"/>
      <c r="E196" s="1" t="n"/>
      <c r="F196" s="1" t="n"/>
      <c r="G196" s="1" t="n"/>
      <c r="H196" s="3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6" t="n"/>
      <c r="D197" s="1" t="n"/>
      <c r="E197" s="1" t="n"/>
      <c r="F197" s="1" t="n"/>
      <c r="G197" s="1" t="n"/>
      <c r="H197" s="3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6" t="n"/>
      <c r="D198" s="1" t="n"/>
      <c r="E198" s="1" t="n"/>
      <c r="F198" s="1" t="n"/>
      <c r="G198" s="1" t="n"/>
      <c r="H198" s="3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6" t="n"/>
      <c r="D199" s="1" t="n"/>
      <c r="E199" s="1" t="n"/>
      <c r="F199" s="1" t="n"/>
      <c r="G199" s="1" t="n"/>
      <c r="H199" s="3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6" t="n"/>
      <c r="D200" s="1" t="n"/>
      <c r="E200" s="1" t="n"/>
      <c r="F200" s="1" t="n"/>
      <c r="G200" s="1" t="n"/>
      <c r="H200" s="3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6" t="n"/>
      <c r="D201" s="1" t="n"/>
      <c r="E201" s="1" t="n"/>
      <c r="F201" s="1" t="n"/>
      <c r="G201" s="1" t="n"/>
      <c r="H201" s="3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6" t="n"/>
      <c r="D202" s="1" t="n"/>
      <c r="E202" s="1" t="n"/>
      <c r="F202" s="1" t="n"/>
      <c r="G202" s="1" t="n"/>
      <c r="H202" s="3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6" t="n"/>
      <c r="D203" s="1" t="n"/>
      <c r="E203" s="1" t="n"/>
      <c r="F203" s="1" t="n"/>
      <c r="G203" s="1" t="n"/>
      <c r="H203" s="3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6" t="n"/>
      <c r="D204" s="1" t="n"/>
      <c r="E204" s="1" t="n"/>
      <c r="F204" s="1" t="n"/>
      <c r="G204" s="1" t="n"/>
      <c r="H204" s="3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6" t="n"/>
      <c r="D205" s="1" t="n"/>
      <c r="E205" s="1" t="n"/>
      <c r="F205" s="1" t="n"/>
      <c r="G205" s="1" t="n"/>
      <c r="H205" s="3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6" t="n"/>
      <c r="D206" s="1" t="n"/>
      <c r="E206" s="1" t="n"/>
      <c r="F206" s="1" t="n"/>
      <c r="G206" s="1" t="n"/>
      <c r="H206" s="3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6" t="n"/>
      <c r="D207" s="1" t="n"/>
      <c r="E207" s="1" t="n"/>
      <c r="F207" s="1" t="n"/>
      <c r="G207" s="1" t="n"/>
      <c r="H207" s="3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6" t="n"/>
      <c r="D208" s="1" t="n"/>
      <c r="E208" s="1" t="n"/>
      <c r="F208" s="1" t="n"/>
      <c r="G208" s="1" t="n"/>
      <c r="H208" s="3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6" t="n"/>
      <c r="D209" s="1" t="n"/>
      <c r="E209" s="1" t="n"/>
      <c r="F209" s="1" t="n"/>
      <c r="G209" s="1" t="n"/>
      <c r="H209" s="3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6" t="n"/>
      <c r="D210" s="1" t="n"/>
      <c r="E210" s="1" t="n"/>
      <c r="F210" s="1" t="n"/>
      <c r="G210" s="1" t="n"/>
      <c r="H210" s="3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6" t="n"/>
      <c r="D211" s="1" t="n"/>
      <c r="E211" s="1" t="n"/>
      <c r="F211" s="1" t="n"/>
      <c r="G211" s="1" t="n"/>
      <c r="H211" s="3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6" t="n"/>
      <c r="D212" s="1" t="n"/>
      <c r="E212" s="1" t="n"/>
      <c r="F212" s="1" t="n"/>
      <c r="G212" s="1" t="n"/>
      <c r="H212" s="3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6" t="n"/>
      <c r="D213" s="1" t="n"/>
      <c r="E213" s="1" t="n"/>
      <c r="F213" s="1" t="n"/>
      <c r="G213" s="1" t="n"/>
      <c r="H213" s="3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6" t="n"/>
      <c r="D214" s="1" t="n"/>
      <c r="E214" s="1" t="n"/>
      <c r="F214" s="1" t="n"/>
      <c r="G214" s="1" t="n"/>
      <c r="H214" s="3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6" t="n"/>
      <c r="D215" s="1" t="n"/>
      <c r="E215" s="1" t="n"/>
      <c r="F215" s="1" t="n"/>
      <c r="G215" s="1" t="n"/>
      <c r="H215" s="3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6" t="n"/>
      <c r="D216" s="1" t="n"/>
      <c r="E216" s="1" t="n"/>
      <c r="F216" s="1" t="n"/>
      <c r="G216" s="1" t="n"/>
      <c r="H216" s="3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6" t="n"/>
      <c r="D217" s="1" t="n"/>
      <c r="E217" s="1" t="n"/>
      <c r="F217" s="1" t="n"/>
      <c r="G217" s="1" t="n"/>
      <c r="H217" s="3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6" t="n"/>
      <c r="D218" s="1" t="n"/>
      <c r="E218" s="1" t="n"/>
      <c r="F218" s="1" t="n"/>
      <c r="G218" s="1" t="n"/>
      <c r="H218" s="3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6" t="n"/>
      <c r="D219" s="1" t="n"/>
      <c r="E219" s="1" t="n"/>
      <c r="F219" s="1" t="n"/>
      <c r="G219" s="1" t="n"/>
      <c r="H219" s="3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6" t="n"/>
      <c r="D220" s="1" t="n"/>
      <c r="E220" s="1" t="n"/>
      <c r="F220" s="1" t="n"/>
      <c r="G220" s="1" t="n"/>
      <c r="H220" s="3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6" t="n"/>
      <c r="D221" s="1" t="n"/>
      <c r="E221" s="1" t="n"/>
      <c r="F221" s="1" t="n"/>
      <c r="G221" s="1" t="n"/>
      <c r="H221" s="3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6" t="n"/>
      <c r="D222" s="1" t="n"/>
      <c r="E222" s="1" t="n"/>
      <c r="F222" s="1" t="n"/>
      <c r="G222" s="1" t="n"/>
      <c r="H222" s="3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6" t="n"/>
      <c r="D223" s="1" t="n"/>
      <c r="E223" s="1" t="n"/>
      <c r="F223" s="1" t="n"/>
      <c r="G223" s="1" t="n"/>
      <c r="H223" s="3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6" t="n"/>
      <c r="D224" s="1" t="n"/>
      <c r="E224" s="1" t="n"/>
      <c r="F224" s="1" t="n"/>
      <c r="G224" s="1" t="n"/>
      <c r="H224" s="3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6" t="n"/>
      <c r="D225" s="1" t="n"/>
      <c r="E225" s="1" t="n"/>
      <c r="F225" s="1" t="n"/>
      <c r="G225" s="1" t="n"/>
      <c r="H225" s="3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6" t="n"/>
      <c r="D226" s="1" t="n"/>
      <c r="E226" s="1" t="n"/>
      <c r="F226" s="1" t="n"/>
      <c r="G226" s="1" t="n"/>
      <c r="H226" s="3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6" t="n"/>
      <c r="D227" s="1" t="n"/>
      <c r="E227" s="1" t="n"/>
      <c r="F227" s="1" t="n"/>
      <c r="G227" s="1" t="n"/>
      <c r="H227" s="3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6" t="n"/>
      <c r="D228" s="1" t="n"/>
      <c r="E228" s="1" t="n"/>
      <c r="F228" s="1" t="n"/>
      <c r="G228" s="1" t="n"/>
      <c r="H228" s="3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6" t="n"/>
      <c r="D229" s="1" t="n"/>
      <c r="E229" s="1" t="n"/>
      <c r="F229" s="1" t="n"/>
      <c r="G229" s="1" t="n"/>
      <c r="H229" s="3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6" t="n"/>
      <c r="D230" s="1" t="n"/>
      <c r="E230" s="1" t="n"/>
      <c r="F230" s="1" t="n"/>
      <c r="G230" s="1" t="n"/>
      <c r="H230" s="3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6" t="n"/>
      <c r="D231" s="1" t="n"/>
      <c r="E231" s="1" t="n"/>
      <c r="F231" s="1" t="n"/>
      <c r="G231" s="1" t="n"/>
      <c r="H231" s="3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6" t="n"/>
      <c r="D232" s="1" t="n"/>
      <c r="E232" s="1" t="n"/>
      <c r="F232" s="1" t="n"/>
      <c r="G232" s="1" t="n"/>
      <c r="H232" s="3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6" t="n"/>
      <c r="D233" s="1" t="n"/>
      <c r="E233" s="1" t="n"/>
      <c r="F233" s="1" t="n"/>
      <c r="G233" s="1" t="n"/>
      <c r="H233" s="3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6" t="n"/>
      <c r="D234" s="1" t="n"/>
      <c r="E234" s="1" t="n"/>
      <c r="F234" s="1" t="n"/>
      <c r="G234" s="1" t="n"/>
      <c r="H234" s="3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6" t="n"/>
      <c r="D235" s="1" t="n"/>
      <c r="E235" s="1" t="n"/>
      <c r="F235" s="1" t="n"/>
      <c r="G235" s="1" t="n"/>
      <c r="H235" s="3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6" t="n"/>
      <c r="D236" s="1" t="n"/>
      <c r="E236" s="1" t="n"/>
      <c r="F236" s="1" t="n"/>
      <c r="G236" s="1" t="n"/>
      <c r="H236" s="3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6" t="n"/>
      <c r="D237" s="1" t="n"/>
      <c r="E237" s="1" t="n"/>
      <c r="F237" s="1" t="n"/>
      <c r="G237" s="1" t="n"/>
      <c r="H237" s="3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6" t="n"/>
      <c r="D238" s="1" t="n"/>
      <c r="E238" s="1" t="n"/>
      <c r="F238" s="1" t="n"/>
      <c r="G238" s="1" t="n"/>
      <c r="H238" s="3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6" t="n"/>
      <c r="D239" s="1" t="n"/>
      <c r="E239" s="1" t="n"/>
      <c r="F239" s="1" t="n"/>
      <c r="G239" s="1" t="n"/>
      <c r="H239" s="3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6" t="n"/>
      <c r="D240" s="1" t="n"/>
      <c r="E240" s="1" t="n"/>
      <c r="F240" s="1" t="n"/>
      <c r="G240" s="1" t="n"/>
      <c r="H240" s="3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6" t="n"/>
      <c r="D241" s="1" t="n"/>
      <c r="E241" s="1" t="n"/>
      <c r="F241" s="1" t="n"/>
      <c r="G241" s="1" t="n"/>
      <c r="H241" s="3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6" t="n"/>
      <c r="D242" s="1" t="n"/>
      <c r="E242" s="1" t="n"/>
      <c r="F242" s="1" t="n"/>
      <c r="G242" s="1" t="n"/>
      <c r="H242" s="3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6" t="n"/>
      <c r="D243" s="1" t="n"/>
      <c r="E243" s="1" t="n"/>
      <c r="F243" s="1" t="n"/>
      <c r="G243" s="1" t="n"/>
      <c r="H243" s="3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6" t="n"/>
      <c r="D244" s="1" t="n"/>
      <c r="E244" s="1" t="n"/>
      <c r="F244" s="1" t="n"/>
      <c r="G244" s="1" t="n"/>
      <c r="H244" s="3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6" t="n"/>
      <c r="D245" s="1" t="n"/>
      <c r="E245" s="1" t="n"/>
      <c r="F245" s="1" t="n"/>
      <c r="G245" s="1" t="n"/>
      <c r="H245" s="3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6" t="n"/>
      <c r="D246" s="1" t="n"/>
      <c r="E246" s="1" t="n"/>
      <c r="F246" s="1" t="n"/>
      <c r="G246" s="1" t="n"/>
      <c r="H246" s="3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6" t="n"/>
      <c r="D247" s="1" t="n"/>
      <c r="E247" s="1" t="n"/>
      <c r="F247" s="1" t="n"/>
      <c r="G247" s="1" t="n"/>
      <c r="H247" s="3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6" t="n"/>
      <c r="D248" s="1" t="n"/>
      <c r="E248" s="1" t="n"/>
      <c r="F248" s="1" t="n"/>
      <c r="G248" s="1" t="n"/>
      <c r="H248" s="3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6" t="n"/>
      <c r="D249" s="1" t="n"/>
      <c r="E249" s="1" t="n"/>
      <c r="F249" s="1" t="n"/>
      <c r="G249" s="1" t="n"/>
      <c r="H249" s="3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6" t="n"/>
      <c r="D250" s="1" t="n"/>
      <c r="E250" s="1" t="n"/>
      <c r="F250" s="1" t="n"/>
      <c r="G250" s="1" t="n"/>
      <c r="H250" s="3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6" t="n"/>
      <c r="D251" s="1" t="n"/>
      <c r="E251" s="1" t="n"/>
      <c r="F251" s="1" t="n"/>
      <c r="G251" s="1" t="n"/>
      <c r="H251" s="3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6" t="n"/>
      <c r="D252" s="1" t="n"/>
      <c r="E252" s="1" t="n"/>
      <c r="F252" s="1" t="n"/>
      <c r="G252" s="1" t="n"/>
      <c r="H252" s="3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6" t="n"/>
      <c r="D253" s="1" t="n"/>
      <c r="E253" s="1" t="n"/>
      <c r="F253" s="1" t="n"/>
      <c r="G253" s="1" t="n"/>
      <c r="H253" s="3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6" t="n"/>
      <c r="D254" s="1" t="n"/>
      <c r="E254" s="1" t="n"/>
      <c r="F254" s="1" t="n"/>
      <c r="G254" s="1" t="n"/>
      <c r="H254" s="3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6" t="n"/>
      <c r="D255" s="1" t="n"/>
      <c r="E255" s="1" t="n"/>
      <c r="F255" s="1" t="n"/>
      <c r="G255" s="1" t="n"/>
      <c r="H255" s="3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6" t="n"/>
      <c r="D256" s="1" t="n"/>
      <c r="E256" s="1" t="n"/>
      <c r="F256" s="1" t="n"/>
      <c r="G256" s="1" t="n"/>
      <c r="H256" s="3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6" t="n"/>
      <c r="D257" s="1" t="n"/>
      <c r="E257" s="1" t="n"/>
      <c r="F257" s="1" t="n"/>
      <c r="G257" s="1" t="n"/>
      <c r="H257" s="3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6" t="n"/>
      <c r="D258" s="1" t="n"/>
      <c r="E258" s="1" t="n"/>
      <c r="F258" s="1" t="n"/>
      <c r="G258" s="1" t="n"/>
      <c r="H258" s="3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6" t="n"/>
      <c r="D259" s="1" t="n"/>
      <c r="E259" s="1" t="n"/>
      <c r="F259" s="1" t="n"/>
      <c r="G259" s="1" t="n"/>
      <c r="H259" s="3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6" t="n"/>
      <c r="D260" s="1" t="n"/>
      <c r="E260" s="1" t="n"/>
      <c r="F260" s="1" t="n"/>
      <c r="G260" s="1" t="n"/>
      <c r="H260" s="3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6" t="n"/>
      <c r="D261" s="1" t="n"/>
      <c r="E261" s="1" t="n"/>
      <c r="F261" s="1" t="n"/>
      <c r="G261" s="1" t="n"/>
      <c r="H261" s="3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6" t="n"/>
      <c r="D262" s="1" t="n"/>
      <c r="E262" s="1" t="n"/>
      <c r="F262" s="1" t="n"/>
      <c r="G262" s="1" t="n"/>
      <c r="H262" s="3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6" t="n"/>
      <c r="D263" s="1" t="n"/>
      <c r="E263" s="1" t="n"/>
      <c r="F263" s="1" t="n"/>
      <c r="G263" s="1" t="n"/>
      <c r="H263" s="3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6" t="n"/>
      <c r="D264" s="1" t="n"/>
      <c r="E264" s="1" t="n"/>
      <c r="F264" s="1" t="n"/>
      <c r="G264" s="1" t="n"/>
      <c r="H264" s="3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6" t="n"/>
      <c r="D265" s="1" t="n"/>
      <c r="E265" s="1" t="n"/>
      <c r="F265" s="1" t="n"/>
      <c r="G265" s="1" t="n"/>
      <c r="H265" s="3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6" t="n"/>
      <c r="D266" s="1" t="n"/>
      <c r="E266" s="1" t="n"/>
      <c r="F266" s="1" t="n"/>
      <c r="G266" s="1" t="n"/>
      <c r="H266" s="3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6" t="n"/>
      <c r="D267" s="1" t="n"/>
      <c r="E267" s="1" t="n"/>
      <c r="F267" s="1" t="n"/>
      <c r="G267" s="1" t="n"/>
      <c r="H267" s="3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6" t="n"/>
      <c r="D268" s="1" t="n"/>
      <c r="E268" s="1" t="n"/>
      <c r="F268" s="1" t="n"/>
      <c r="G268" s="1" t="n"/>
      <c r="H268" s="3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6" t="n"/>
      <c r="D269" s="1" t="n"/>
      <c r="E269" s="1" t="n"/>
      <c r="F269" s="1" t="n"/>
      <c r="G269" s="1" t="n"/>
      <c r="H269" s="3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6" t="n"/>
      <c r="D270" s="1" t="n"/>
      <c r="E270" s="1" t="n"/>
      <c r="F270" s="1" t="n"/>
      <c r="G270" s="1" t="n"/>
      <c r="H270" s="3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6" t="n"/>
      <c r="D271" s="1" t="n"/>
      <c r="E271" s="1" t="n"/>
      <c r="F271" s="1" t="n"/>
      <c r="G271" s="1" t="n"/>
      <c r="H271" s="3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6" t="n"/>
      <c r="D272" s="1" t="n"/>
      <c r="E272" s="1" t="n"/>
      <c r="F272" s="1" t="n"/>
      <c r="G272" s="1" t="n"/>
      <c r="H272" s="3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6" t="n"/>
      <c r="D273" s="1" t="n"/>
      <c r="E273" s="1" t="n"/>
      <c r="F273" s="1" t="n"/>
      <c r="G273" s="1" t="n"/>
      <c r="H273" s="3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6" t="n"/>
      <c r="D274" s="1" t="n"/>
      <c r="E274" s="1" t="n"/>
      <c r="F274" s="1" t="n"/>
      <c r="G274" s="1" t="n"/>
      <c r="H274" s="3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6" t="n"/>
      <c r="D275" s="1" t="n"/>
      <c r="E275" s="1" t="n"/>
      <c r="F275" s="1" t="n"/>
      <c r="G275" s="1" t="n"/>
      <c r="H275" s="3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6" t="n"/>
      <c r="D276" s="1" t="n"/>
      <c r="E276" s="1" t="n"/>
      <c r="F276" s="1" t="n"/>
      <c r="G276" s="1" t="n"/>
      <c r="H276" s="3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6" t="n"/>
      <c r="D277" s="1" t="n"/>
      <c r="E277" s="1" t="n"/>
      <c r="F277" s="1" t="n"/>
      <c r="G277" s="1" t="n"/>
      <c r="H277" s="3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6" t="n"/>
      <c r="D278" s="1" t="n"/>
      <c r="E278" s="1" t="n"/>
      <c r="F278" s="1" t="n"/>
      <c r="G278" s="1" t="n"/>
      <c r="H278" s="3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6" t="n"/>
      <c r="D279" s="1" t="n"/>
      <c r="E279" s="1" t="n"/>
      <c r="F279" s="1" t="n"/>
      <c r="G279" s="1" t="n"/>
      <c r="H279" s="3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6" t="n"/>
      <c r="D280" s="1" t="n"/>
      <c r="E280" s="1" t="n"/>
      <c r="F280" s="1" t="n"/>
      <c r="G280" s="1" t="n"/>
      <c r="H280" s="3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6" t="n"/>
      <c r="D281" s="1" t="n"/>
      <c r="E281" s="1" t="n"/>
      <c r="F281" s="1" t="n"/>
      <c r="G281" s="1" t="n"/>
      <c r="H281" s="3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6" t="n"/>
      <c r="D282" s="1" t="n"/>
      <c r="E282" s="1" t="n"/>
      <c r="F282" s="1" t="n"/>
      <c r="G282" s="1" t="n"/>
      <c r="H282" s="3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6" t="n"/>
      <c r="D283" s="1" t="n"/>
      <c r="E283" s="1" t="n"/>
      <c r="F283" s="1" t="n"/>
      <c r="G283" s="1" t="n"/>
      <c r="H283" s="3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6" t="n"/>
      <c r="D284" s="1" t="n"/>
      <c r="E284" s="1" t="n"/>
      <c r="F284" s="1" t="n"/>
      <c r="G284" s="1" t="n"/>
      <c r="H284" s="3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6" t="n"/>
      <c r="D285" s="1" t="n"/>
      <c r="E285" s="1" t="n"/>
      <c r="F285" s="1" t="n"/>
      <c r="G285" s="1" t="n"/>
      <c r="H285" s="3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6" t="n"/>
      <c r="D286" s="1" t="n"/>
      <c r="E286" s="1" t="n"/>
      <c r="F286" s="1" t="n"/>
      <c r="G286" s="1" t="n"/>
      <c r="H286" s="3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6" t="n"/>
      <c r="D287" s="1" t="n"/>
      <c r="E287" s="1" t="n"/>
      <c r="F287" s="1" t="n"/>
      <c r="G287" s="1" t="n"/>
      <c r="H287" s="3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6" t="n"/>
      <c r="D288" s="1" t="n"/>
      <c r="E288" s="1" t="n"/>
      <c r="F288" s="1" t="n"/>
      <c r="G288" s="1" t="n"/>
      <c r="H288" s="3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6" t="n"/>
      <c r="D289" s="1" t="n"/>
      <c r="E289" s="1" t="n"/>
      <c r="F289" s="1" t="n"/>
      <c r="G289" s="1" t="n"/>
      <c r="H289" s="3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6" t="n"/>
      <c r="D290" s="1" t="n"/>
      <c r="E290" s="1" t="n"/>
      <c r="F290" s="1" t="n"/>
      <c r="G290" s="1" t="n"/>
      <c r="H290" s="3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6" t="n"/>
      <c r="D291" s="1" t="n"/>
      <c r="E291" s="1" t="n"/>
      <c r="F291" s="1" t="n"/>
      <c r="G291" s="1" t="n"/>
      <c r="H291" s="3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6" t="n"/>
      <c r="D292" s="1" t="n"/>
      <c r="E292" s="1" t="n"/>
      <c r="F292" s="1" t="n"/>
      <c r="G292" s="1" t="n"/>
      <c r="H292" s="3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6" t="n"/>
      <c r="D293" s="1" t="n"/>
      <c r="E293" s="1" t="n"/>
      <c r="F293" s="1" t="n"/>
      <c r="G293" s="1" t="n"/>
      <c r="H293" s="3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6" t="n"/>
      <c r="D294" s="1" t="n"/>
      <c r="E294" s="1" t="n"/>
      <c r="F294" s="1" t="n"/>
      <c r="G294" s="1" t="n"/>
      <c r="H294" s="3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6" t="n"/>
      <c r="D295" s="1" t="n"/>
      <c r="E295" s="1" t="n"/>
      <c r="F295" s="1" t="n"/>
      <c r="G295" s="1" t="n"/>
      <c r="H295" s="3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6" t="n"/>
      <c r="D296" s="1" t="n"/>
      <c r="E296" s="1" t="n"/>
      <c r="F296" s="1" t="n"/>
      <c r="G296" s="1" t="n"/>
      <c r="H296" s="3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6" t="n"/>
      <c r="D297" s="1" t="n"/>
      <c r="E297" s="1" t="n"/>
      <c r="F297" s="1" t="n"/>
      <c r="G297" s="1" t="n"/>
      <c r="H297" s="3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6" t="n"/>
      <c r="D298" s="1" t="n"/>
      <c r="E298" s="1" t="n"/>
      <c r="F298" s="1" t="n"/>
      <c r="G298" s="1" t="n"/>
      <c r="H298" s="3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6" t="n"/>
      <c r="D299" s="1" t="n"/>
      <c r="E299" s="1" t="n"/>
      <c r="F299" s="1" t="n"/>
      <c r="G299" s="1" t="n"/>
      <c r="H299" s="3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6" t="n"/>
      <c r="D300" s="1" t="n"/>
      <c r="E300" s="1" t="n"/>
      <c r="F300" s="1" t="n"/>
      <c r="G300" s="1" t="n"/>
      <c r="H300" s="3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6" t="n"/>
      <c r="D301" s="1" t="n"/>
      <c r="E301" s="1" t="n"/>
      <c r="F301" s="1" t="n"/>
      <c r="G301" s="1" t="n"/>
      <c r="H301" s="3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6" t="n"/>
      <c r="D302" s="1" t="n"/>
      <c r="E302" s="1" t="n"/>
      <c r="F302" s="1" t="n"/>
      <c r="G302" s="1" t="n"/>
      <c r="H302" s="3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6" t="n"/>
      <c r="D303" s="1" t="n"/>
      <c r="E303" s="1" t="n"/>
      <c r="F303" s="1" t="n"/>
      <c r="G303" s="1" t="n"/>
      <c r="H303" s="3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6" t="n"/>
      <c r="D304" s="1" t="n"/>
      <c r="E304" s="1" t="n"/>
      <c r="F304" s="1" t="n"/>
      <c r="G304" s="1" t="n"/>
      <c r="H304" s="3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6" t="n"/>
      <c r="D305" s="1" t="n"/>
      <c r="E305" s="1" t="n"/>
      <c r="F305" s="1" t="n"/>
      <c r="G305" s="1" t="n"/>
      <c r="H305" s="3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6" t="n"/>
      <c r="D306" s="1" t="n"/>
      <c r="E306" s="1" t="n"/>
      <c r="F306" s="1" t="n"/>
      <c r="G306" s="1" t="n"/>
      <c r="H306" s="3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6" t="n"/>
      <c r="D307" s="1" t="n"/>
      <c r="E307" s="1" t="n"/>
      <c r="F307" s="1" t="n"/>
      <c r="G307" s="1" t="n"/>
      <c r="H307" s="3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6" t="n"/>
      <c r="D308" s="1" t="n"/>
      <c r="E308" s="1" t="n"/>
      <c r="F308" s="1" t="n"/>
      <c r="G308" s="1" t="n"/>
      <c r="H308" s="3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6" t="n"/>
      <c r="D309" s="1" t="n"/>
      <c r="E309" s="1" t="n"/>
      <c r="F309" s="1" t="n"/>
      <c r="G309" s="1" t="n"/>
      <c r="H309" s="3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6" t="n"/>
      <c r="D310" s="1" t="n"/>
      <c r="E310" s="1" t="n"/>
      <c r="F310" s="1" t="n"/>
      <c r="G310" s="1" t="n"/>
      <c r="H310" s="3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6" t="n"/>
      <c r="D311" s="1" t="n"/>
      <c r="E311" s="1" t="n"/>
      <c r="F311" s="1" t="n"/>
      <c r="G311" s="1" t="n"/>
      <c r="H311" s="3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6" t="n"/>
      <c r="D312" s="1" t="n"/>
      <c r="E312" s="1" t="n"/>
      <c r="F312" s="1" t="n"/>
      <c r="G312" s="1" t="n"/>
      <c r="H312" s="3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6" t="n"/>
      <c r="D313" s="1" t="n"/>
      <c r="E313" s="1" t="n"/>
      <c r="F313" s="1" t="n"/>
      <c r="G313" s="1" t="n"/>
      <c r="H313" s="3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6" t="n"/>
      <c r="D314" s="1" t="n"/>
      <c r="E314" s="1" t="n"/>
      <c r="F314" s="1" t="n"/>
      <c r="G314" s="1" t="n"/>
      <c r="H314" s="3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6" t="n"/>
      <c r="D315" s="1" t="n"/>
      <c r="E315" s="1" t="n"/>
      <c r="F315" s="1" t="n"/>
      <c r="G315" s="1" t="n"/>
      <c r="H315" s="3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6" t="n"/>
      <c r="D316" s="1" t="n"/>
      <c r="E316" s="1" t="n"/>
      <c r="F316" s="1" t="n"/>
      <c r="G316" s="1" t="n"/>
      <c r="H316" s="3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6" t="n"/>
      <c r="D317" s="1" t="n"/>
      <c r="E317" s="1" t="n"/>
      <c r="F317" s="1" t="n"/>
      <c r="G317" s="1" t="n"/>
      <c r="H317" s="3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6" t="n"/>
      <c r="D318" s="1" t="n"/>
      <c r="E318" s="1" t="n"/>
      <c r="F318" s="1" t="n"/>
      <c r="G318" s="1" t="n"/>
      <c r="H318" s="3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6" t="n"/>
      <c r="D319" s="1" t="n"/>
      <c r="E319" s="1" t="n"/>
      <c r="F319" s="1" t="n"/>
      <c r="G319" s="1" t="n"/>
      <c r="H319" s="3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6" t="n"/>
      <c r="D320" s="1" t="n"/>
      <c r="E320" s="1" t="n"/>
      <c r="F320" s="1" t="n"/>
      <c r="G320" s="1" t="n"/>
      <c r="H320" s="3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6" t="n"/>
      <c r="D321" s="1" t="n"/>
      <c r="E321" s="1" t="n"/>
      <c r="F321" s="1" t="n"/>
      <c r="G321" s="1" t="n"/>
      <c r="H321" s="3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6" t="n"/>
      <c r="D322" s="1" t="n"/>
      <c r="E322" s="1" t="n"/>
      <c r="F322" s="1" t="n"/>
      <c r="G322" s="1" t="n"/>
      <c r="H322" s="3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6" t="n"/>
      <c r="D323" s="1" t="n"/>
      <c r="E323" s="1" t="n"/>
      <c r="F323" s="1" t="n"/>
      <c r="G323" s="1" t="n"/>
      <c r="H323" s="3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6" t="n"/>
      <c r="D324" s="1" t="n"/>
      <c r="E324" s="1" t="n"/>
      <c r="F324" s="1" t="n"/>
      <c r="G324" s="1" t="n"/>
      <c r="H324" s="3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6" t="n"/>
      <c r="D325" s="1" t="n"/>
      <c r="E325" s="1" t="n"/>
      <c r="F325" s="1" t="n"/>
      <c r="G325" s="1" t="n"/>
      <c r="H325" s="3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6" t="n"/>
      <c r="D326" s="1" t="n"/>
      <c r="E326" s="1" t="n"/>
      <c r="F326" s="1" t="n"/>
      <c r="G326" s="1" t="n"/>
      <c r="H326" s="3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6" t="n"/>
      <c r="D327" s="1" t="n"/>
      <c r="E327" s="1" t="n"/>
      <c r="F327" s="1" t="n"/>
      <c r="G327" s="1" t="n"/>
      <c r="H327" s="3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6" t="n"/>
      <c r="D328" s="1" t="n"/>
      <c r="E328" s="1" t="n"/>
      <c r="F328" s="1" t="n"/>
      <c r="G328" s="1" t="n"/>
      <c r="H328" s="3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6" t="n"/>
      <c r="D329" s="1" t="n"/>
      <c r="E329" s="1" t="n"/>
      <c r="F329" s="1" t="n"/>
      <c r="G329" s="1" t="n"/>
      <c r="H329" s="3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6" t="n"/>
      <c r="D330" s="1" t="n"/>
      <c r="E330" s="1" t="n"/>
      <c r="F330" s="1" t="n"/>
      <c r="G330" s="1" t="n"/>
      <c r="H330" s="3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6" t="n"/>
      <c r="D331" s="1" t="n"/>
      <c r="E331" s="1" t="n"/>
      <c r="F331" s="1" t="n"/>
      <c r="G331" s="1" t="n"/>
      <c r="H331" s="3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6" t="n"/>
      <c r="D332" s="1" t="n"/>
      <c r="E332" s="1" t="n"/>
      <c r="F332" s="1" t="n"/>
      <c r="G332" s="1" t="n"/>
      <c r="H332" s="3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6" t="n"/>
      <c r="D333" s="1" t="n"/>
      <c r="E333" s="1" t="n"/>
      <c r="F333" s="1" t="n"/>
      <c r="G333" s="1" t="n"/>
      <c r="H333" s="3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6" t="n"/>
      <c r="D334" s="1" t="n"/>
      <c r="E334" s="1" t="n"/>
      <c r="F334" s="1" t="n"/>
      <c r="G334" s="1" t="n"/>
      <c r="H334" s="3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6" t="n"/>
      <c r="D335" s="1" t="n"/>
      <c r="E335" s="1" t="n"/>
      <c r="F335" s="1" t="n"/>
      <c r="G335" s="1" t="n"/>
      <c r="H335" s="3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6" t="n"/>
      <c r="D336" s="1" t="n"/>
      <c r="E336" s="1" t="n"/>
      <c r="F336" s="1" t="n"/>
      <c r="G336" s="1" t="n"/>
      <c r="H336" s="3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6" t="n"/>
      <c r="D337" s="1" t="n"/>
      <c r="E337" s="1" t="n"/>
      <c r="F337" s="1" t="n"/>
      <c r="G337" s="1" t="n"/>
      <c r="H337" s="3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6" t="n"/>
      <c r="D338" s="1" t="n"/>
      <c r="E338" s="1" t="n"/>
      <c r="F338" s="1" t="n"/>
      <c r="G338" s="1" t="n"/>
      <c r="H338" s="3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6" t="n"/>
      <c r="D339" s="1" t="n"/>
      <c r="E339" s="1" t="n"/>
      <c r="F339" s="1" t="n"/>
      <c r="G339" s="1" t="n"/>
      <c r="H339" s="3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6" t="n"/>
      <c r="D340" s="1" t="n"/>
      <c r="E340" s="1" t="n"/>
      <c r="F340" s="1" t="n"/>
      <c r="G340" s="1" t="n"/>
      <c r="H340" s="3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6" t="n"/>
      <c r="D341" s="1" t="n"/>
      <c r="E341" s="1" t="n"/>
      <c r="F341" s="1" t="n"/>
      <c r="G341" s="1" t="n"/>
      <c r="H341" s="3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6" t="n"/>
      <c r="D342" s="1" t="n"/>
      <c r="E342" s="1" t="n"/>
      <c r="F342" s="1" t="n"/>
      <c r="G342" s="1" t="n"/>
      <c r="H342" s="3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6" t="n"/>
      <c r="D343" s="1" t="n"/>
      <c r="E343" s="1" t="n"/>
      <c r="F343" s="1" t="n"/>
      <c r="G343" s="1" t="n"/>
      <c r="H343" s="3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6" t="n"/>
      <c r="D344" s="1" t="n"/>
      <c r="E344" s="1" t="n"/>
      <c r="F344" s="1" t="n"/>
      <c r="G344" s="1" t="n"/>
      <c r="H344" s="3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6" t="n"/>
      <c r="D345" s="1" t="n"/>
      <c r="E345" s="1" t="n"/>
      <c r="F345" s="1" t="n"/>
      <c r="G345" s="1" t="n"/>
      <c r="H345" s="3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6" t="n"/>
      <c r="D346" s="1" t="n"/>
      <c r="E346" s="1" t="n"/>
      <c r="F346" s="1" t="n"/>
      <c r="G346" s="1" t="n"/>
      <c r="H346" s="3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6" t="n"/>
      <c r="D347" s="1" t="n"/>
      <c r="E347" s="1" t="n"/>
      <c r="F347" s="1" t="n"/>
      <c r="G347" s="1" t="n"/>
      <c r="H347" s="3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6" t="n"/>
      <c r="D348" s="1" t="n"/>
      <c r="E348" s="1" t="n"/>
      <c r="F348" s="1" t="n"/>
      <c r="G348" s="1" t="n"/>
      <c r="H348" s="3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6" t="n"/>
      <c r="D349" s="1" t="n"/>
      <c r="E349" s="1" t="n"/>
      <c r="F349" s="1" t="n"/>
      <c r="G349" s="1" t="n"/>
      <c r="H349" s="3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6" t="n"/>
      <c r="D350" s="1" t="n"/>
      <c r="E350" s="1" t="n"/>
      <c r="F350" s="1" t="n"/>
      <c r="G350" s="1" t="n"/>
      <c r="H350" s="3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6" t="n"/>
      <c r="D351" s="1" t="n"/>
      <c r="E351" s="1" t="n"/>
      <c r="F351" s="1" t="n"/>
      <c r="G351" s="1" t="n"/>
      <c r="H351" s="3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6" t="n"/>
      <c r="D352" s="1" t="n"/>
      <c r="E352" s="1" t="n"/>
      <c r="F352" s="1" t="n"/>
      <c r="G352" s="1" t="n"/>
      <c r="H352" s="3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6" t="n"/>
      <c r="D353" s="1" t="n"/>
      <c r="E353" s="1" t="n"/>
      <c r="F353" s="1" t="n"/>
      <c r="G353" s="1" t="n"/>
      <c r="H353" s="3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6" t="n"/>
      <c r="D354" s="1" t="n"/>
      <c r="E354" s="1" t="n"/>
      <c r="F354" s="1" t="n"/>
      <c r="G354" s="1" t="n"/>
      <c r="H354" s="3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6" t="n"/>
      <c r="D355" s="1" t="n"/>
      <c r="E355" s="1" t="n"/>
      <c r="F355" s="1" t="n"/>
      <c r="G355" s="1" t="n"/>
      <c r="H355" s="3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6" t="n"/>
      <c r="D356" s="1" t="n"/>
      <c r="E356" s="1" t="n"/>
      <c r="F356" s="1" t="n"/>
      <c r="G356" s="1" t="n"/>
      <c r="H356" s="3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6" t="n"/>
      <c r="D357" s="1" t="n"/>
      <c r="E357" s="1" t="n"/>
      <c r="F357" s="1" t="n"/>
      <c r="G357" s="1" t="n"/>
      <c r="H357" s="3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6" t="n"/>
      <c r="D358" s="1" t="n"/>
      <c r="E358" s="1" t="n"/>
      <c r="F358" s="1" t="n"/>
      <c r="G358" s="1" t="n"/>
      <c r="H358" s="3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6" t="n"/>
      <c r="D359" s="1" t="n"/>
      <c r="E359" s="1" t="n"/>
      <c r="F359" s="1" t="n"/>
      <c r="G359" s="1" t="n"/>
      <c r="H359" s="3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6" t="n"/>
      <c r="D360" s="1" t="n"/>
      <c r="E360" s="1" t="n"/>
      <c r="F360" s="1" t="n"/>
      <c r="G360" s="1" t="n"/>
      <c r="H360" s="3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6" t="n"/>
      <c r="D361" s="1" t="n"/>
      <c r="E361" s="1" t="n"/>
      <c r="F361" s="1" t="n"/>
      <c r="G361" s="1" t="n"/>
      <c r="H361" s="3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6" t="n"/>
      <c r="D362" s="1" t="n"/>
      <c r="E362" s="1" t="n"/>
      <c r="F362" s="1" t="n"/>
      <c r="G362" s="1" t="n"/>
      <c r="H362" s="3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6" t="n"/>
      <c r="D363" s="1" t="n"/>
      <c r="E363" s="1" t="n"/>
      <c r="F363" s="1" t="n"/>
      <c r="G363" s="1" t="n"/>
      <c r="H363" s="3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6" t="n"/>
      <c r="D364" s="1" t="n"/>
      <c r="E364" s="1" t="n"/>
      <c r="F364" s="1" t="n"/>
      <c r="G364" s="1" t="n"/>
      <c r="H364" s="3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6" t="n"/>
      <c r="D365" s="1" t="n"/>
      <c r="E365" s="1" t="n"/>
      <c r="F365" s="1" t="n"/>
      <c r="G365" s="1" t="n"/>
      <c r="H365" s="3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6" t="n"/>
      <c r="D366" s="1" t="n"/>
      <c r="E366" s="1" t="n"/>
      <c r="F366" s="1" t="n"/>
      <c r="G366" s="1" t="n"/>
      <c r="H366" s="3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6" t="n"/>
      <c r="D367" s="1" t="n"/>
      <c r="E367" s="1" t="n"/>
      <c r="F367" s="1" t="n"/>
      <c r="G367" s="1" t="n"/>
      <c r="H367" s="3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6" t="n"/>
      <c r="D368" s="1" t="n"/>
      <c r="E368" s="1" t="n"/>
      <c r="F368" s="1" t="n"/>
      <c r="G368" s="1" t="n"/>
      <c r="H368" s="3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6" t="n"/>
      <c r="D369" s="1" t="n"/>
      <c r="E369" s="1" t="n"/>
      <c r="F369" s="1" t="n"/>
      <c r="G369" s="1" t="n"/>
      <c r="H369" s="3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6" t="n"/>
      <c r="D370" s="1" t="n"/>
      <c r="E370" s="1" t="n"/>
      <c r="F370" s="1" t="n"/>
      <c r="G370" s="1" t="n"/>
      <c r="H370" s="3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6" t="n"/>
      <c r="D371" s="1" t="n"/>
      <c r="E371" s="1" t="n"/>
      <c r="F371" s="1" t="n"/>
      <c r="G371" s="1" t="n"/>
      <c r="H371" s="3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6" t="n"/>
      <c r="D372" s="1" t="n"/>
      <c r="E372" s="1" t="n"/>
      <c r="F372" s="1" t="n"/>
      <c r="G372" s="1" t="n"/>
      <c r="H372" s="3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6" t="n"/>
      <c r="D373" s="1" t="n"/>
      <c r="E373" s="1" t="n"/>
      <c r="F373" s="1" t="n"/>
      <c r="G373" s="1" t="n"/>
      <c r="H373" s="3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6" t="n"/>
      <c r="D374" s="1" t="n"/>
      <c r="E374" s="1" t="n"/>
      <c r="F374" s="1" t="n"/>
      <c r="G374" s="1" t="n"/>
      <c r="H374" s="3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6" t="n"/>
      <c r="D375" s="1" t="n"/>
      <c r="E375" s="1" t="n"/>
      <c r="F375" s="1" t="n"/>
      <c r="G375" s="1" t="n"/>
      <c r="H375" s="3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6" t="n"/>
      <c r="D376" s="1" t="n"/>
      <c r="E376" s="1" t="n"/>
      <c r="F376" s="1" t="n"/>
      <c r="G376" s="1" t="n"/>
      <c r="H376" s="3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6" t="n"/>
      <c r="D377" s="1" t="n"/>
      <c r="E377" s="1" t="n"/>
      <c r="F377" s="1" t="n"/>
      <c r="G377" s="1" t="n"/>
      <c r="H377" s="3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6" t="n"/>
      <c r="D378" s="1" t="n"/>
      <c r="E378" s="1" t="n"/>
      <c r="F378" s="1" t="n"/>
      <c r="G378" s="1" t="n"/>
      <c r="H378" s="3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6" t="n"/>
      <c r="D379" s="1" t="n"/>
      <c r="E379" s="1" t="n"/>
      <c r="F379" s="1" t="n"/>
      <c r="G379" s="1" t="n"/>
      <c r="H379" s="3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6" t="n"/>
      <c r="D380" s="1" t="n"/>
      <c r="E380" s="1" t="n"/>
      <c r="F380" s="1" t="n"/>
      <c r="G380" s="1" t="n"/>
      <c r="H380" s="3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6" t="n"/>
      <c r="D381" s="1" t="n"/>
      <c r="E381" s="1" t="n"/>
      <c r="F381" s="1" t="n"/>
      <c r="G381" s="1" t="n"/>
      <c r="H381" s="3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6" t="n"/>
      <c r="D382" s="1" t="n"/>
      <c r="E382" s="1" t="n"/>
      <c r="F382" s="1" t="n"/>
      <c r="G382" s="1" t="n"/>
      <c r="H382" s="3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6" t="n"/>
      <c r="D383" s="1" t="n"/>
      <c r="E383" s="1" t="n"/>
      <c r="F383" s="1" t="n"/>
      <c r="G383" s="1" t="n"/>
      <c r="H383" s="3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6" t="n"/>
      <c r="D384" s="1" t="n"/>
      <c r="E384" s="1" t="n"/>
      <c r="F384" s="1" t="n"/>
      <c r="G384" s="1" t="n"/>
      <c r="H384" s="3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6" t="n"/>
      <c r="D385" s="1" t="n"/>
      <c r="E385" s="1" t="n"/>
      <c r="F385" s="1" t="n"/>
      <c r="G385" s="1" t="n"/>
      <c r="H385" s="3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6" t="n"/>
      <c r="D386" s="1" t="n"/>
      <c r="E386" s="1" t="n"/>
      <c r="F386" s="1" t="n"/>
      <c r="G386" s="1" t="n"/>
      <c r="H386" s="3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6" t="n"/>
      <c r="D387" s="1" t="n"/>
      <c r="E387" s="1" t="n"/>
      <c r="F387" s="1" t="n"/>
      <c r="G387" s="1" t="n"/>
      <c r="H387" s="3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6" t="n"/>
      <c r="D388" s="1" t="n"/>
      <c r="E388" s="1" t="n"/>
      <c r="F388" s="1" t="n"/>
      <c r="G388" s="1" t="n"/>
      <c r="H388" s="3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6" t="n"/>
      <c r="D389" s="1" t="n"/>
      <c r="E389" s="1" t="n"/>
      <c r="F389" s="1" t="n"/>
      <c r="G389" s="1" t="n"/>
      <c r="H389" s="3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6" t="n"/>
      <c r="D390" s="1" t="n"/>
      <c r="E390" s="1" t="n"/>
      <c r="F390" s="1" t="n"/>
      <c r="G390" s="1" t="n"/>
      <c r="H390" s="3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6" t="n"/>
      <c r="D391" s="1" t="n"/>
      <c r="E391" s="1" t="n"/>
      <c r="F391" s="1" t="n"/>
      <c r="G391" s="1" t="n"/>
      <c r="H391" s="3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6" t="n"/>
      <c r="D392" s="1" t="n"/>
      <c r="E392" s="1" t="n"/>
      <c r="F392" s="1" t="n"/>
      <c r="G392" s="1" t="n"/>
      <c r="H392" s="3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6" t="n"/>
      <c r="D393" s="1" t="n"/>
      <c r="E393" s="1" t="n"/>
      <c r="F393" s="1" t="n"/>
      <c r="G393" s="1" t="n"/>
      <c r="H393" s="3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6" t="n"/>
      <c r="D394" s="1" t="n"/>
      <c r="E394" s="1" t="n"/>
      <c r="F394" s="1" t="n"/>
      <c r="G394" s="1" t="n"/>
      <c r="H394" s="3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6" t="n"/>
      <c r="D395" s="1" t="n"/>
      <c r="E395" s="1" t="n"/>
      <c r="F395" s="1" t="n"/>
      <c r="G395" s="1" t="n"/>
      <c r="H395" s="3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6" t="n"/>
      <c r="D396" s="1" t="n"/>
      <c r="E396" s="1" t="n"/>
      <c r="F396" s="1" t="n"/>
      <c r="G396" s="1" t="n"/>
      <c r="H396" s="3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6" t="n"/>
      <c r="D397" s="1" t="n"/>
      <c r="E397" s="1" t="n"/>
      <c r="F397" s="1" t="n"/>
      <c r="G397" s="1" t="n"/>
      <c r="H397" s="3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6" t="n"/>
      <c r="D398" s="1" t="n"/>
      <c r="E398" s="1" t="n"/>
      <c r="F398" s="1" t="n"/>
      <c r="G398" s="1" t="n"/>
      <c r="H398" s="3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6" t="n"/>
      <c r="D399" s="1" t="n"/>
      <c r="E399" s="1" t="n"/>
      <c r="F399" s="1" t="n"/>
      <c r="G399" s="1" t="n"/>
      <c r="H399" s="3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6" t="n"/>
      <c r="D400" s="1" t="n"/>
      <c r="E400" s="1" t="n"/>
      <c r="F400" s="1" t="n"/>
      <c r="G400" s="1" t="n"/>
      <c r="H400" s="3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6" t="n"/>
      <c r="D401" s="1" t="n"/>
      <c r="E401" s="1" t="n"/>
      <c r="F401" s="1" t="n"/>
      <c r="G401" s="1" t="n"/>
      <c r="H401" s="3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6" t="n"/>
      <c r="D402" s="1" t="n"/>
      <c r="E402" s="1" t="n"/>
      <c r="F402" s="1" t="n"/>
      <c r="G402" s="1" t="n"/>
      <c r="H402" s="3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6" t="n"/>
      <c r="D403" s="1" t="n"/>
      <c r="E403" s="1" t="n"/>
      <c r="F403" s="1" t="n"/>
      <c r="G403" s="1" t="n"/>
      <c r="H403" s="3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6" t="n"/>
      <c r="D404" s="1" t="n"/>
      <c r="E404" s="1" t="n"/>
      <c r="F404" s="1" t="n"/>
      <c r="G404" s="1" t="n"/>
      <c r="H404" s="3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6" t="n"/>
      <c r="D405" s="1" t="n"/>
      <c r="E405" s="1" t="n"/>
      <c r="F405" s="1" t="n"/>
      <c r="G405" s="1" t="n"/>
      <c r="H405" s="3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6" t="n"/>
      <c r="D406" s="1" t="n"/>
      <c r="E406" s="1" t="n"/>
      <c r="F406" s="1" t="n"/>
      <c r="G406" s="1" t="n"/>
      <c r="H406" s="3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6" t="n"/>
      <c r="D407" s="1" t="n"/>
      <c r="E407" s="1" t="n"/>
      <c r="F407" s="1" t="n"/>
      <c r="G407" s="1" t="n"/>
      <c r="H407" s="3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6" t="n"/>
      <c r="D408" s="1" t="n"/>
      <c r="E408" s="1" t="n"/>
      <c r="F408" s="1" t="n"/>
      <c r="G408" s="1" t="n"/>
      <c r="H408" s="3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6" t="n"/>
      <c r="D409" s="1" t="n"/>
      <c r="E409" s="1" t="n"/>
      <c r="F409" s="1" t="n"/>
      <c r="G409" s="1" t="n"/>
      <c r="H409" s="3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6" t="n"/>
      <c r="D410" s="1" t="n"/>
      <c r="E410" s="1" t="n"/>
      <c r="F410" s="1" t="n"/>
      <c r="G410" s="1" t="n"/>
      <c r="H410" s="3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6" t="n"/>
      <c r="D411" s="1" t="n"/>
      <c r="E411" s="1" t="n"/>
      <c r="F411" s="1" t="n"/>
      <c r="G411" s="1" t="n"/>
      <c r="H411" s="3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6" t="n"/>
      <c r="D412" s="1" t="n"/>
      <c r="E412" s="1" t="n"/>
      <c r="F412" s="1" t="n"/>
      <c r="G412" s="1" t="n"/>
      <c r="H412" s="3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6" t="n"/>
      <c r="D413" s="1" t="n"/>
      <c r="E413" s="1" t="n"/>
      <c r="F413" s="1" t="n"/>
      <c r="G413" s="1" t="n"/>
      <c r="H413" s="3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6" t="n"/>
      <c r="D414" s="1" t="n"/>
      <c r="E414" s="1" t="n"/>
      <c r="F414" s="1" t="n"/>
      <c r="G414" s="1" t="n"/>
      <c r="H414" s="3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6" t="n"/>
      <c r="D415" s="1" t="n"/>
      <c r="E415" s="1" t="n"/>
      <c r="F415" s="1" t="n"/>
      <c r="G415" s="1" t="n"/>
      <c r="H415" s="3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6" t="n"/>
      <c r="D416" s="1" t="n"/>
      <c r="E416" s="1" t="n"/>
      <c r="F416" s="1" t="n"/>
      <c r="G416" s="1" t="n"/>
      <c r="H416" s="3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6" t="n"/>
      <c r="D417" s="1" t="n"/>
      <c r="E417" s="1" t="n"/>
      <c r="F417" s="1" t="n"/>
      <c r="G417" s="1" t="n"/>
      <c r="H417" s="3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6" t="n"/>
      <c r="D418" s="1" t="n"/>
      <c r="E418" s="1" t="n"/>
      <c r="F418" s="1" t="n"/>
      <c r="G418" s="1" t="n"/>
      <c r="H418" s="3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6" t="n"/>
      <c r="D419" s="1" t="n"/>
      <c r="E419" s="1" t="n"/>
      <c r="F419" s="1" t="n"/>
      <c r="G419" s="1" t="n"/>
      <c r="H419" s="3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6" t="n"/>
      <c r="D420" s="1" t="n"/>
      <c r="E420" s="1" t="n"/>
      <c r="F420" s="1" t="n"/>
      <c r="G420" s="1" t="n"/>
      <c r="H420" s="3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6" t="n"/>
      <c r="D421" s="1" t="n"/>
      <c r="E421" s="1" t="n"/>
      <c r="F421" s="1" t="n"/>
      <c r="G421" s="1" t="n"/>
      <c r="H421" s="3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6" t="n"/>
      <c r="D422" s="1" t="n"/>
      <c r="E422" s="1" t="n"/>
      <c r="F422" s="1" t="n"/>
      <c r="G422" s="1" t="n"/>
      <c r="H422" s="3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6" t="n"/>
      <c r="D423" s="1" t="n"/>
      <c r="E423" s="1" t="n"/>
      <c r="F423" s="1" t="n"/>
      <c r="G423" s="1" t="n"/>
      <c r="H423" s="3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6" t="n"/>
      <c r="D424" s="1" t="n"/>
      <c r="E424" s="1" t="n"/>
      <c r="F424" s="1" t="n"/>
      <c r="G424" s="1" t="n"/>
      <c r="H424" s="3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6" t="n"/>
      <c r="D425" s="1" t="n"/>
      <c r="E425" s="1" t="n"/>
      <c r="F425" s="1" t="n"/>
      <c r="G425" s="1" t="n"/>
      <c r="H425" s="3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6" t="n"/>
      <c r="D426" s="1" t="n"/>
      <c r="E426" s="1" t="n"/>
      <c r="F426" s="1" t="n"/>
      <c r="G426" s="1" t="n"/>
      <c r="H426" s="3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6" t="n"/>
      <c r="D427" s="1" t="n"/>
      <c r="E427" s="1" t="n"/>
      <c r="F427" s="1" t="n"/>
      <c r="G427" s="1" t="n"/>
      <c r="H427" s="3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6" t="n"/>
      <c r="D428" s="1" t="n"/>
      <c r="E428" s="1" t="n"/>
      <c r="F428" s="1" t="n"/>
      <c r="G428" s="1" t="n"/>
      <c r="H428" s="3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6" t="n"/>
      <c r="D429" s="1" t="n"/>
      <c r="E429" s="1" t="n"/>
      <c r="F429" s="1" t="n"/>
      <c r="G429" s="1" t="n"/>
      <c r="H429" s="3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6" t="n"/>
      <c r="D430" s="1" t="n"/>
      <c r="E430" s="1" t="n"/>
      <c r="F430" s="1" t="n"/>
      <c r="G430" s="1" t="n"/>
      <c r="H430" s="3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6" t="n"/>
      <c r="D431" s="1" t="n"/>
      <c r="E431" s="1" t="n"/>
      <c r="F431" s="1" t="n"/>
      <c r="G431" s="1" t="n"/>
      <c r="H431" s="3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6" t="n"/>
      <c r="D432" s="1" t="n"/>
      <c r="E432" s="1" t="n"/>
      <c r="F432" s="1" t="n"/>
      <c r="G432" s="1" t="n"/>
      <c r="H432" s="3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6" t="n"/>
      <c r="D433" s="1" t="n"/>
      <c r="E433" s="1" t="n"/>
      <c r="F433" s="1" t="n"/>
      <c r="G433" s="1" t="n"/>
      <c r="H433" s="3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6" t="n"/>
      <c r="D434" s="1" t="n"/>
      <c r="E434" s="1" t="n"/>
      <c r="F434" s="1" t="n"/>
      <c r="G434" s="1" t="n"/>
      <c r="H434" s="3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6" t="n"/>
      <c r="D435" s="1" t="n"/>
      <c r="E435" s="1" t="n"/>
      <c r="F435" s="1" t="n"/>
      <c r="G435" s="1" t="n"/>
      <c r="H435" s="3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6" t="n"/>
      <c r="D436" s="1" t="n"/>
      <c r="E436" s="1" t="n"/>
      <c r="F436" s="1" t="n"/>
      <c r="G436" s="1" t="n"/>
      <c r="H436" s="3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6" t="n"/>
      <c r="D437" s="1" t="n"/>
      <c r="E437" s="1" t="n"/>
      <c r="F437" s="1" t="n"/>
      <c r="G437" s="1" t="n"/>
      <c r="H437" s="3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6" t="n"/>
      <c r="D438" s="1" t="n"/>
      <c r="E438" s="1" t="n"/>
      <c r="F438" s="1" t="n"/>
      <c r="G438" s="1" t="n"/>
      <c r="H438" s="3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6" t="n"/>
      <c r="D439" s="1" t="n"/>
      <c r="E439" s="1" t="n"/>
      <c r="F439" s="1" t="n"/>
      <c r="G439" s="1" t="n"/>
      <c r="H439" s="3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6" t="n"/>
      <c r="D440" s="1" t="n"/>
      <c r="E440" s="1" t="n"/>
      <c r="F440" s="1" t="n"/>
      <c r="G440" s="1" t="n"/>
      <c r="H440" s="3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6" t="n"/>
      <c r="D441" s="1" t="n"/>
      <c r="E441" s="1" t="n"/>
      <c r="F441" s="1" t="n"/>
      <c r="G441" s="1" t="n"/>
      <c r="H441" s="3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6" t="n"/>
      <c r="D442" s="1" t="n"/>
      <c r="E442" s="1" t="n"/>
      <c r="F442" s="1" t="n"/>
      <c r="G442" s="1" t="n"/>
      <c r="H442" s="3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6" t="n"/>
      <c r="D443" s="1" t="n"/>
      <c r="E443" s="1" t="n"/>
      <c r="F443" s="1" t="n"/>
      <c r="G443" s="1" t="n"/>
      <c r="H443" s="3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6" t="n"/>
      <c r="D444" s="1" t="n"/>
      <c r="E444" s="1" t="n"/>
      <c r="F444" s="1" t="n"/>
      <c r="G444" s="1" t="n"/>
      <c r="H444" s="3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6" t="n"/>
      <c r="D445" s="1" t="n"/>
      <c r="E445" s="1" t="n"/>
      <c r="F445" s="1" t="n"/>
      <c r="G445" s="1" t="n"/>
      <c r="H445" s="3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6" t="n"/>
      <c r="D446" s="1" t="n"/>
      <c r="E446" s="1" t="n"/>
      <c r="F446" s="1" t="n"/>
      <c r="G446" s="1" t="n"/>
      <c r="H446" s="3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6" t="n"/>
      <c r="D447" s="1" t="n"/>
      <c r="E447" s="1" t="n"/>
      <c r="F447" s="1" t="n"/>
      <c r="G447" s="1" t="n"/>
      <c r="H447" s="3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6" t="n"/>
      <c r="D448" s="1" t="n"/>
      <c r="E448" s="1" t="n"/>
      <c r="F448" s="1" t="n"/>
      <c r="G448" s="1" t="n"/>
      <c r="H448" s="3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6" t="n"/>
      <c r="D449" s="1" t="n"/>
      <c r="E449" s="1" t="n"/>
      <c r="F449" s="1" t="n"/>
      <c r="G449" s="1" t="n"/>
      <c r="H449" s="3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6" t="n"/>
      <c r="D450" s="1" t="n"/>
      <c r="E450" s="1" t="n"/>
      <c r="F450" s="1" t="n"/>
      <c r="G450" s="1" t="n"/>
      <c r="H450" s="3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6" t="n"/>
      <c r="D451" s="1" t="n"/>
      <c r="E451" s="1" t="n"/>
      <c r="F451" s="1" t="n"/>
      <c r="G451" s="1" t="n"/>
      <c r="H451" s="3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6" t="n"/>
      <c r="D452" s="1" t="n"/>
      <c r="E452" s="1" t="n"/>
      <c r="F452" s="1" t="n"/>
      <c r="G452" s="1" t="n"/>
      <c r="H452" s="3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6" t="n"/>
      <c r="D453" s="1" t="n"/>
      <c r="E453" s="1" t="n"/>
      <c r="F453" s="1" t="n"/>
      <c r="G453" s="1" t="n"/>
      <c r="H453" s="3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6" t="n"/>
      <c r="D454" s="1" t="n"/>
      <c r="E454" s="1" t="n"/>
      <c r="F454" s="1" t="n"/>
      <c r="G454" s="1" t="n"/>
      <c r="H454" s="3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6" t="n"/>
      <c r="D455" s="1" t="n"/>
      <c r="E455" s="1" t="n"/>
      <c r="F455" s="1" t="n"/>
      <c r="G455" s="1" t="n"/>
      <c r="H455" s="3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6" t="n"/>
      <c r="D456" s="1" t="n"/>
      <c r="E456" s="1" t="n"/>
      <c r="F456" s="1" t="n"/>
      <c r="G456" s="1" t="n"/>
      <c r="H456" s="3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6" t="n"/>
      <c r="D457" s="1" t="n"/>
      <c r="E457" s="1" t="n"/>
      <c r="F457" s="1" t="n"/>
      <c r="G457" s="1" t="n"/>
      <c r="H457" s="3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6" t="n"/>
      <c r="D458" s="1" t="n"/>
      <c r="E458" s="1" t="n"/>
      <c r="F458" s="1" t="n"/>
      <c r="G458" s="1" t="n"/>
      <c r="H458" s="3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6" t="n"/>
      <c r="D459" s="1" t="n"/>
      <c r="E459" s="1" t="n"/>
      <c r="F459" s="1" t="n"/>
      <c r="G459" s="1" t="n"/>
      <c r="H459" s="3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6" t="n"/>
      <c r="D460" s="1" t="n"/>
      <c r="E460" s="1" t="n"/>
      <c r="F460" s="1" t="n"/>
      <c r="G460" s="1" t="n"/>
      <c r="H460" s="3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6" t="n"/>
      <c r="D461" s="1" t="n"/>
      <c r="E461" s="1" t="n"/>
      <c r="F461" s="1" t="n"/>
      <c r="G461" s="1" t="n"/>
      <c r="H461" s="3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6" t="n"/>
      <c r="D462" s="1" t="n"/>
      <c r="E462" s="1" t="n"/>
      <c r="F462" s="1" t="n"/>
      <c r="G462" s="1" t="n"/>
      <c r="H462" s="3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6" t="n"/>
      <c r="D463" s="1" t="n"/>
      <c r="E463" s="1" t="n"/>
      <c r="F463" s="1" t="n"/>
      <c r="G463" s="1" t="n"/>
      <c r="H463" s="3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6" t="n"/>
      <c r="D464" s="1" t="n"/>
      <c r="E464" s="1" t="n"/>
      <c r="F464" s="1" t="n"/>
      <c r="G464" s="1" t="n"/>
      <c r="H464" s="3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6" t="n"/>
      <c r="D465" s="1" t="n"/>
      <c r="E465" s="1" t="n"/>
      <c r="F465" s="1" t="n"/>
      <c r="G465" s="1" t="n"/>
      <c r="H465" s="3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6" t="n"/>
      <c r="D466" s="1" t="n"/>
      <c r="E466" s="1" t="n"/>
      <c r="F466" s="1" t="n"/>
      <c r="G466" s="1" t="n"/>
      <c r="H466" s="3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6" t="n"/>
      <c r="D467" s="1" t="n"/>
      <c r="E467" s="1" t="n"/>
      <c r="F467" s="1" t="n"/>
      <c r="G467" s="1" t="n"/>
      <c r="H467" s="3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6" t="n"/>
      <c r="D468" s="1" t="n"/>
      <c r="E468" s="1" t="n"/>
      <c r="F468" s="1" t="n"/>
      <c r="G468" s="1" t="n"/>
      <c r="H468" s="3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6" t="n"/>
      <c r="D469" s="1" t="n"/>
      <c r="E469" s="1" t="n"/>
      <c r="F469" s="1" t="n"/>
      <c r="G469" s="1" t="n"/>
      <c r="H469" s="3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6" t="n"/>
      <c r="D470" s="1" t="n"/>
      <c r="E470" s="1" t="n"/>
      <c r="F470" s="1" t="n"/>
      <c r="G470" s="1" t="n"/>
      <c r="H470" s="3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6" t="n"/>
      <c r="D471" s="1" t="n"/>
      <c r="E471" s="1" t="n"/>
      <c r="F471" s="1" t="n"/>
      <c r="G471" s="1" t="n"/>
      <c r="H471" s="3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6" t="n"/>
      <c r="D472" s="1" t="n"/>
      <c r="E472" s="1" t="n"/>
      <c r="F472" s="1" t="n"/>
      <c r="G472" s="1" t="n"/>
      <c r="H472" s="3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6" t="n"/>
      <c r="D473" s="1" t="n"/>
      <c r="E473" s="1" t="n"/>
      <c r="F473" s="1" t="n"/>
      <c r="G473" s="1" t="n"/>
      <c r="H473" s="3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6" t="n"/>
      <c r="D474" s="1" t="n"/>
      <c r="E474" s="1" t="n"/>
      <c r="F474" s="1" t="n"/>
      <c r="G474" s="1" t="n"/>
      <c r="H474" s="3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6" t="n"/>
      <c r="D475" s="1" t="n"/>
      <c r="E475" s="1" t="n"/>
      <c r="F475" s="1" t="n"/>
      <c r="G475" s="1" t="n"/>
      <c r="H475" s="3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6" t="n"/>
      <c r="D476" s="1" t="n"/>
      <c r="E476" s="1" t="n"/>
      <c r="F476" s="1" t="n"/>
      <c r="G476" s="1" t="n"/>
      <c r="H476" s="3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6" t="n"/>
      <c r="D477" s="1" t="n"/>
      <c r="E477" s="1" t="n"/>
      <c r="F477" s="1" t="n"/>
      <c r="G477" s="1" t="n"/>
      <c r="H477" s="3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6" t="n"/>
      <c r="D478" s="1" t="n"/>
      <c r="E478" s="1" t="n"/>
      <c r="F478" s="1" t="n"/>
      <c r="G478" s="1" t="n"/>
      <c r="H478" s="3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6" t="n"/>
      <c r="D479" s="1" t="n"/>
      <c r="E479" s="1" t="n"/>
      <c r="F479" s="1" t="n"/>
      <c r="G479" s="1" t="n"/>
      <c r="H479" s="3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6" t="n"/>
      <c r="D480" s="1" t="n"/>
      <c r="E480" s="1" t="n"/>
      <c r="F480" s="1" t="n"/>
      <c r="G480" s="1" t="n"/>
      <c r="H480" s="3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6" t="n"/>
      <c r="D481" s="1" t="n"/>
      <c r="E481" s="1" t="n"/>
      <c r="F481" s="1" t="n"/>
      <c r="G481" s="1" t="n"/>
      <c r="H481" s="3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6" t="n"/>
      <c r="D482" s="1" t="n"/>
      <c r="E482" s="1" t="n"/>
      <c r="F482" s="1" t="n"/>
      <c r="G482" s="1" t="n"/>
      <c r="H482" s="3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6" t="n"/>
      <c r="D483" s="1" t="n"/>
      <c r="E483" s="1" t="n"/>
      <c r="F483" s="1" t="n"/>
      <c r="G483" s="1" t="n"/>
      <c r="H483" s="3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6" t="n"/>
      <c r="D484" s="1" t="n"/>
      <c r="E484" s="1" t="n"/>
      <c r="F484" s="1" t="n"/>
      <c r="G484" s="1" t="n"/>
      <c r="H484" s="3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6" t="n"/>
      <c r="D485" s="1" t="n"/>
      <c r="E485" s="1" t="n"/>
      <c r="F485" s="1" t="n"/>
      <c r="G485" s="1" t="n"/>
      <c r="H485" s="3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6" t="n"/>
      <c r="D486" s="1" t="n"/>
      <c r="E486" s="1" t="n"/>
      <c r="F486" s="1" t="n"/>
      <c r="G486" s="1" t="n"/>
      <c r="H486" s="3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6" t="n"/>
      <c r="D487" s="1" t="n"/>
      <c r="E487" s="1" t="n"/>
      <c r="F487" s="1" t="n"/>
      <c r="G487" s="1" t="n"/>
      <c r="H487" s="3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6" t="n"/>
      <c r="D488" s="1" t="n"/>
      <c r="E488" s="1" t="n"/>
      <c r="F488" s="1" t="n"/>
      <c r="G488" s="1" t="n"/>
      <c r="H488" s="3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6" t="n"/>
      <c r="D489" s="1" t="n"/>
      <c r="E489" s="1" t="n"/>
      <c r="F489" s="1" t="n"/>
      <c r="G489" s="1" t="n"/>
      <c r="H489" s="3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6" t="n"/>
      <c r="D490" s="1" t="n"/>
      <c r="E490" s="1" t="n"/>
      <c r="F490" s="1" t="n"/>
      <c r="G490" s="1" t="n"/>
      <c r="H490" s="3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6" t="n"/>
      <c r="D491" s="1" t="n"/>
      <c r="E491" s="1" t="n"/>
      <c r="F491" s="1" t="n"/>
      <c r="G491" s="1" t="n"/>
      <c r="H491" s="3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6" t="n"/>
      <c r="D492" s="1" t="n"/>
      <c r="E492" s="1" t="n"/>
      <c r="F492" s="1" t="n"/>
      <c r="G492" s="1" t="n"/>
      <c r="H492" s="3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6" t="n"/>
      <c r="D493" s="1" t="n"/>
      <c r="E493" s="1" t="n"/>
      <c r="F493" s="1" t="n"/>
      <c r="G493" s="1" t="n"/>
      <c r="H493" s="3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6" t="n"/>
      <c r="D494" s="1" t="n"/>
      <c r="E494" s="1" t="n"/>
      <c r="F494" s="1" t="n"/>
      <c r="G494" s="1" t="n"/>
      <c r="H494" s="3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6" t="n"/>
      <c r="D495" s="1" t="n"/>
      <c r="E495" s="1" t="n"/>
      <c r="F495" s="1" t="n"/>
      <c r="G495" s="1" t="n"/>
      <c r="H495" s="3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6" t="n"/>
      <c r="D496" s="1" t="n"/>
      <c r="E496" s="1" t="n"/>
      <c r="F496" s="1" t="n"/>
      <c r="G496" s="1" t="n"/>
      <c r="H496" s="3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6" t="n"/>
      <c r="D497" s="1" t="n"/>
      <c r="E497" s="1" t="n"/>
      <c r="F497" s="1" t="n"/>
      <c r="G497" s="1" t="n"/>
      <c r="H497" s="3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6" t="n"/>
      <c r="D498" s="1" t="n"/>
      <c r="E498" s="1" t="n"/>
      <c r="F498" s="1" t="n"/>
      <c r="G498" s="1" t="n"/>
      <c r="H498" s="3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6" t="n"/>
      <c r="D499" s="1" t="n"/>
      <c r="E499" s="1" t="n"/>
      <c r="F499" s="1" t="n"/>
      <c r="G499" s="1" t="n"/>
      <c r="H499" s="3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6" t="n"/>
      <c r="D500" s="1" t="n"/>
      <c r="E500" s="1" t="n"/>
      <c r="F500" s="1" t="n"/>
      <c r="G500" s="1" t="n"/>
      <c r="H500" s="3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6" t="n"/>
      <c r="D501" s="1" t="n"/>
      <c r="E501" s="1" t="n"/>
      <c r="F501" s="1" t="n"/>
      <c r="G501" s="1" t="n"/>
      <c r="H501" s="3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6" t="n"/>
      <c r="D502" s="1" t="n"/>
      <c r="E502" s="1" t="n"/>
      <c r="F502" s="1" t="n"/>
      <c r="G502" s="1" t="n"/>
      <c r="H502" s="3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6" t="n"/>
      <c r="D503" s="1" t="n"/>
      <c r="E503" s="1" t="n"/>
      <c r="F503" s="1" t="n"/>
      <c r="G503" s="1" t="n"/>
      <c r="H503" s="3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6" t="n"/>
      <c r="D504" s="1" t="n"/>
      <c r="E504" s="1" t="n"/>
      <c r="F504" s="1" t="n"/>
      <c r="G504" s="1" t="n"/>
      <c r="H504" s="3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6" t="n"/>
      <c r="D505" s="1" t="n"/>
      <c r="E505" s="1" t="n"/>
      <c r="F505" s="1" t="n"/>
      <c r="G505" s="1" t="n"/>
      <c r="H505" s="3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6" t="n"/>
      <c r="D506" s="1" t="n"/>
      <c r="E506" s="1" t="n"/>
      <c r="F506" s="1" t="n"/>
      <c r="G506" s="1" t="n"/>
      <c r="H506" s="3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6" t="n"/>
      <c r="D507" s="1" t="n"/>
      <c r="E507" s="1" t="n"/>
      <c r="F507" s="1" t="n"/>
      <c r="G507" s="1" t="n"/>
      <c r="H507" s="3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6" t="n"/>
      <c r="D508" s="1" t="n"/>
      <c r="E508" s="1" t="n"/>
      <c r="F508" s="1" t="n"/>
      <c r="G508" s="1" t="n"/>
      <c r="H508" s="3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6" t="n"/>
      <c r="D509" s="1" t="n"/>
      <c r="E509" s="1" t="n"/>
      <c r="F509" s="1" t="n"/>
      <c r="G509" s="1" t="n"/>
      <c r="H509" s="3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6" t="n"/>
      <c r="D510" s="1" t="n"/>
      <c r="E510" s="1" t="n"/>
      <c r="F510" s="1" t="n"/>
      <c r="G510" s="1" t="n"/>
      <c r="H510" s="3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6" t="n"/>
      <c r="D511" s="1" t="n"/>
      <c r="E511" s="1" t="n"/>
      <c r="F511" s="1" t="n"/>
      <c r="G511" s="1" t="n"/>
      <c r="H511" s="3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6" t="n"/>
      <c r="D512" s="1" t="n"/>
      <c r="E512" s="1" t="n"/>
      <c r="F512" s="1" t="n"/>
      <c r="G512" s="1" t="n"/>
      <c r="H512" s="3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6" t="n"/>
      <c r="D513" s="1" t="n"/>
      <c r="E513" s="1" t="n"/>
      <c r="F513" s="1" t="n"/>
      <c r="G513" s="1" t="n"/>
      <c r="H513" s="3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6" t="n"/>
      <c r="D514" s="1" t="n"/>
      <c r="E514" s="1" t="n"/>
      <c r="F514" s="1" t="n"/>
      <c r="G514" s="1" t="n"/>
      <c r="H514" s="3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6" t="n"/>
      <c r="D515" s="1" t="n"/>
      <c r="E515" s="1" t="n"/>
      <c r="F515" s="1" t="n"/>
      <c r="G515" s="1" t="n"/>
      <c r="H515" s="3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6" t="n"/>
      <c r="D516" s="1" t="n"/>
      <c r="E516" s="1" t="n"/>
      <c r="F516" s="1" t="n"/>
      <c r="G516" s="1" t="n"/>
      <c r="H516" s="3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6" t="n"/>
      <c r="D517" s="1" t="n"/>
      <c r="E517" s="1" t="n"/>
      <c r="F517" s="1" t="n"/>
      <c r="G517" s="1" t="n"/>
      <c r="H517" s="3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6" t="n"/>
      <c r="D518" s="1" t="n"/>
      <c r="E518" s="1" t="n"/>
      <c r="F518" s="1" t="n"/>
      <c r="G518" s="1" t="n"/>
      <c r="H518" s="3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6" t="n"/>
      <c r="D519" s="1" t="n"/>
      <c r="E519" s="1" t="n"/>
      <c r="F519" s="1" t="n"/>
      <c r="G519" s="1" t="n"/>
      <c r="H519" s="3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6" t="n"/>
      <c r="D520" s="1" t="n"/>
      <c r="E520" s="1" t="n"/>
      <c r="F520" s="1" t="n"/>
      <c r="G520" s="1" t="n"/>
      <c r="H520" s="3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6" t="n"/>
      <c r="D521" s="1" t="n"/>
      <c r="E521" s="1" t="n"/>
      <c r="F521" s="1" t="n"/>
      <c r="G521" s="1" t="n"/>
      <c r="H521" s="3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6" t="n"/>
      <c r="D522" s="1" t="n"/>
      <c r="E522" s="1" t="n"/>
      <c r="F522" s="1" t="n"/>
      <c r="G522" s="1" t="n"/>
      <c r="H522" s="3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6" t="n"/>
      <c r="D523" s="1" t="n"/>
      <c r="E523" s="1" t="n"/>
      <c r="F523" s="1" t="n"/>
      <c r="G523" s="1" t="n"/>
      <c r="H523" s="3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6" t="n"/>
      <c r="D524" s="1" t="n"/>
      <c r="E524" s="1" t="n"/>
      <c r="F524" s="1" t="n"/>
      <c r="G524" s="1" t="n"/>
      <c r="H524" s="3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6" t="n"/>
      <c r="D525" s="1" t="n"/>
      <c r="E525" s="1" t="n"/>
      <c r="F525" s="1" t="n"/>
      <c r="G525" s="1" t="n"/>
      <c r="H525" s="3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6" t="n"/>
      <c r="D526" s="1" t="n"/>
      <c r="E526" s="1" t="n"/>
      <c r="F526" s="1" t="n"/>
      <c r="G526" s="1" t="n"/>
      <c r="H526" s="3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6" t="n"/>
      <c r="D527" s="1" t="n"/>
      <c r="E527" s="1" t="n"/>
      <c r="F527" s="1" t="n"/>
      <c r="G527" s="1" t="n"/>
      <c r="H527" s="3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6" t="n"/>
      <c r="D528" s="1" t="n"/>
      <c r="E528" s="1" t="n"/>
      <c r="F528" s="1" t="n"/>
      <c r="G528" s="1" t="n"/>
      <c r="H528" s="3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6" t="n"/>
      <c r="D529" s="1" t="n"/>
      <c r="E529" s="1" t="n"/>
      <c r="F529" s="1" t="n"/>
      <c r="G529" s="1" t="n"/>
      <c r="H529" s="3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6" t="n"/>
      <c r="D530" s="1" t="n"/>
      <c r="E530" s="1" t="n"/>
      <c r="F530" s="1" t="n"/>
      <c r="G530" s="1" t="n"/>
      <c r="H530" s="3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6" t="n"/>
      <c r="D531" s="1" t="n"/>
      <c r="E531" s="1" t="n"/>
      <c r="F531" s="1" t="n"/>
      <c r="G531" s="1" t="n"/>
      <c r="H531" s="3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6" t="n"/>
      <c r="D532" s="1" t="n"/>
      <c r="E532" s="1" t="n"/>
      <c r="F532" s="1" t="n"/>
      <c r="G532" s="1" t="n"/>
      <c r="H532" s="3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6" t="n"/>
      <c r="D533" s="1" t="n"/>
      <c r="E533" s="1" t="n"/>
      <c r="F533" s="1" t="n"/>
      <c r="G533" s="1" t="n"/>
      <c r="H533" s="3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6" t="n"/>
      <c r="D534" s="1" t="n"/>
      <c r="E534" s="1" t="n"/>
      <c r="F534" s="1" t="n"/>
      <c r="G534" s="1" t="n"/>
      <c r="H534" s="3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6" t="n"/>
      <c r="D535" s="1" t="n"/>
      <c r="E535" s="1" t="n"/>
      <c r="F535" s="1" t="n"/>
      <c r="G535" s="1" t="n"/>
      <c r="H535" s="3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6" t="n"/>
      <c r="D536" s="1" t="n"/>
      <c r="E536" s="1" t="n"/>
      <c r="F536" s="1" t="n"/>
      <c r="G536" s="1" t="n"/>
      <c r="H536" s="3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6" t="n"/>
      <c r="D537" s="1" t="n"/>
      <c r="E537" s="1" t="n"/>
      <c r="F537" s="1" t="n"/>
      <c r="G537" s="1" t="n"/>
      <c r="H537" s="3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6" t="n"/>
      <c r="D538" s="1" t="n"/>
      <c r="E538" s="1" t="n"/>
      <c r="F538" s="1" t="n"/>
      <c r="G538" s="1" t="n"/>
      <c r="H538" s="3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6" t="n"/>
      <c r="D539" s="1" t="n"/>
      <c r="E539" s="1" t="n"/>
      <c r="F539" s="1" t="n"/>
      <c r="G539" s="1" t="n"/>
      <c r="H539" s="3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6" t="n"/>
      <c r="D540" s="1" t="n"/>
      <c r="E540" s="1" t="n"/>
      <c r="F540" s="1" t="n"/>
      <c r="G540" s="1" t="n"/>
      <c r="H540" s="3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6" t="n"/>
      <c r="D541" s="1" t="n"/>
      <c r="E541" s="1" t="n"/>
      <c r="F541" s="1" t="n"/>
      <c r="G541" s="1" t="n"/>
      <c r="H541" s="3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6" t="n"/>
      <c r="D542" s="1" t="n"/>
      <c r="E542" s="1" t="n"/>
      <c r="F542" s="1" t="n"/>
      <c r="G542" s="1" t="n"/>
      <c r="H542" s="3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6" t="n"/>
      <c r="D543" s="1" t="n"/>
      <c r="E543" s="1" t="n"/>
      <c r="F543" s="1" t="n"/>
      <c r="G543" s="1" t="n"/>
      <c r="H543" s="3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6" t="n"/>
      <c r="D544" s="1" t="n"/>
      <c r="E544" s="1" t="n"/>
      <c r="F544" s="1" t="n"/>
      <c r="G544" s="1" t="n"/>
      <c r="H544" s="3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6" t="n"/>
      <c r="D545" s="1" t="n"/>
      <c r="E545" s="1" t="n"/>
      <c r="F545" s="1" t="n"/>
      <c r="G545" s="1" t="n"/>
      <c r="H545" s="3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6" t="n"/>
      <c r="D546" s="1" t="n"/>
      <c r="E546" s="1" t="n"/>
      <c r="F546" s="1" t="n"/>
      <c r="G546" s="1" t="n"/>
      <c r="H546" s="3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6" t="n"/>
      <c r="D547" s="1" t="n"/>
      <c r="E547" s="1" t="n"/>
      <c r="F547" s="1" t="n"/>
      <c r="G547" s="1" t="n"/>
      <c r="H547" s="3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6" t="n"/>
      <c r="D548" s="1" t="n"/>
      <c r="E548" s="1" t="n"/>
      <c r="F548" s="1" t="n"/>
      <c r="G548" s="1" t="n"/>
      <c r="H548" s="3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6" t="n"/>
      <c r="D549" s="1" t="n"/>
      <c r="E549" s="1" t="n"/>
      <c r="F549" s="1" t="n"/>
      <c r="G549" s="1" t="n"/>
      <c r="H549" s="3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6" t="n"/>
      <c r="D550" s="1" t="n"/>
      <c r="E550" s="1" t="n"/>
      <c r="F550" s="1" t="n"/>
      <c r="G550" s="1" t="n"/>
      <c r="H550" s="3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6" t="n"/>
      <c r="D551" s="1" t="n"/>
      <c r="E551" s="1" t="n"/>
      <c r="F551" s="1" t="n"/>
      <c r="G551" s="1" t="n"/>
      <c r="H551" s="3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6" t="n"/>
      <c r="D552" s="1" t="n"/>
      <c r="E552" s="1" t="n"/>
      <c r="F552" s="1" t="n"/>
      <c r="G552" s="1" t="n"/>
      <c r="H552" s="3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6" t="n"/>
      <c r="D553" s="1" t="n"/>
      <c r="E553" s="1" t="n"/>
      <c r="F553" s="1" t="n"/>
      <c r="G553" s="1" t="n"/>
      <c r="H553" s="3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6" t="n"/>
      <c r="D554" s="1" t="n"/>
      <c r="E554" s="1" t="n"/>
      <c r="F554" s="1" t="n"/>
      <c r="G554" s="1" t="n"/>
      <c r="H554" s="3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6" t="n"/>
      <c r="D555" s="1" t="n"/>
      <c r="E555" s="1" t="n"/>
      <c r="F555" s="1" t="n"/>
      <c r="G555" s="1" t="n"/>
      <c r="H555" s="3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6" t="n"/>
      <c r="D556" s="1" t="n"/>
      <c r="E556" s="1" t="n"/>
      <c r="F556" s="1" t="n"/>
      <c r="G556" s="1" t="n"/>
      <c r="H556" s="3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6" t="n"/>
      <c r="D557" s="1" t="n"/>
      <c r="E557" s="1" t="n"/>
      <c r="F557" s="1" t="n"/>
      <c r="G557" s="1" t="n"/>
      <c r="H557" s="3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6" t="n"/>
      <c r="D558" s="1" t="n"/>
      <c r="E558" s="1" t="n"/>
      <c r="F558" s="1" t="n"/>
      <c r="G558" s="1" t="n"/>
      <c r="H558" s="3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6" t="n"/>
      <c r="D559" s="1" t="n"/>
      <c r="E559" s="1" t="n"/>
      <c r="F559" s="1" t="n"/>
      <c r="G559" s="1" t="n"/>
      <c r="H559" s="3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6" t="n"/>
      <c r="D560" s="1" t="n"/>
      <c r="E560" s="1" t="n"/>
      <c r="F560" s="1" t="n"/>
      <c r="G560" s="1" t="n"/>
      <c r="H560" s="3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6" t="n"/>
      <c r="D561" s="1" t="n"/>
      <c r="E561" s="1" t="n"/>
      <c r="F561" s="1" t="n"/>
      <c r="G561" s="1" t="n"/>
      <c r="H561" s="3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6" t="n"/>
      <c r="D562" s="1" t="n"/>
      <c r="E562" s="1" t="n"/>
      <c r="F562" s="1" t="n"/>
      <c r="G562" s="1" t="n"/>
      <c r="H562" s="3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6" t="n"/>
      <c r="D563" s="1" t="n"/>
      <c r="E563" s="1" t="n"/>
      <c r="F563" s="1" t="n"/>
      <c r="G563" s="1" t="n"/>
      <c r="H563" s="3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6" t="n"/>
      <c r="D564" s="1" t="n"/>
      <c r="E564" s="1" t="n"/>
      <c r="F564" s="1" t="n"/>
      <c r="G564" s="1" t="n"/>
      <c r="H564" s="3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6" t="n"/>
      <c r="D565" s="1" t="n"/>
      <c r="E565" s="1" t="n"/>
      <c r="F565" s="1" t="n"/>
      <c r="G565" s="1" t="n"/>
      <c r="H565" s="3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6" t="n"/>
      <c r="D566" s="1" t="n"/>
      <c r="E566" s="1" t="n"/>
      <c r="F566" s="1" t="n"/>
      <c r="G566" s="1" t="n"/>
      <c r="H566" s="3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6" t="n"/>
      <c r="D567" s="1" t="n"/>
      <c r="E567" s="1" t="n"/>
      <c r="F567" s="1" t="n"/>
      <c r="G567" s="1" t="n"/>
      <c r="H567" s="3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6" t="n"/>
      <c r="D568" s="1" t="n"/>
      <c r="E568" s="1" t="n"/>
      <c r="F568" s="1" t="n"/>
      <c r="G568" s="1" t="n"/>
      <c r="H568" s="3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6" t="n"/>
      <c r="D569" s="1" t="n"/>
      <c r="E569" s="1" t="n"/>
      <c r="F569" s="1" t="n"/>
      <c r="G569" s="1" t="n"/>
      <c r="H569" s="3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6" t="n"/>
      <c r="D570" s="1" t="n"/>
      <c r="E570" s="1" t="n"/>
      <c r="F570" s="1" t="n"/>
      <c r="G570" s="1" t="n"/>
      <c r="H570" s="3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6" t="n"/>
      <c r="D571" s="1" t="n"/>
      <c r="E571" s="1" t="n"/>
      <c r="F571" s="1" t="n"/>
      <c r="G571" s="1" t="n"/>
      <c r="H571" s="3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6" t="n"/>
      <c r="D572" s="1" t="n"/>
      <c r="E572" s="1" t="n"/>
      <c r="F572" s="1" t="n"/>
      <c r="G572" s="1" t="n"/>
      <c r="H572" s="3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6" t="n"/>
      <c r="D573" s="1" t="n"/>
      <c r="E573" s="1" t="n"/>
      <c r="F573" s="1" t="n"/>
      <c r="G573" s="1" t="n"/>
      <c r="H573" s="3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6" t="n"/>
      <c r="D574" s="1" t="n"/>
      <c r="E574" s="1" t="n"/>
      <c r="F574" s="1" t="n"/>
      <c r="G574" s="1" t="n"/>
      <c r="H574" s="3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6" t="n"/>
      <c r="D575" s="1" t="n"/>
      <c r="E575" s="1" t="n"/>
      <c r="F575" s="1" t="n"/>
      <c r="G575" s="1" t="n"/>
      <c r="H575" s="3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6" t="n"/>
      <c r="D576" s="1" t="n"/>
      <c r="E576" s="1" t="n"/>
      <c r="F576" s="1" t="n"/>
      <c r="G576" s="1" t="n"/>
      <c r="H576" s="3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6" t="n"/>
      <c r="D577" s="1" t="n"/>
      <c r="E577" s="1" t="n"/>
      <c r="F577" s="1" t="n"/>
      <c r="G577" s="1" t="n"/>
      <c r="H577" s="3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6" t="n"/>
      <c r="D578" s="1" t="n"/>
      <c r="E578" s="1" t="n"/>
      <c r="F578" s="1" t="n"/>
      <c r="G578" s="1" t="n"/>
      <c r="H578" s="3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6" t="n"/>
      <c r="D579" s="1" t="n"/>
      <c r="E579" s="1" t="n"/>
      <c r="F579" s="1" t="n"/>
      <c r="G579" s="1" t="n"/>
      <c r="H579" s="3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6" t="n"/>
      <c r="D580" s="1" t="n"/>
      <c r="E580" s="1" t="n"/>
      <c r="F580" s="1" t="n"/>
      <c r="G580" s="1" t="n"/>
      <c r="H580" s="3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6" t="n"/>
      <c r="D581" s="1" t="n"/>
      <c r="E581" s="1" t="n"/>
      <c r="F581" s="1" t="n"/>
      <c r="G581" s="1" t="n"/>
      <c r="H581" s="3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6" t="n"/>
      <c r="D582" s="1" t="n"/>
      <c r="E582" s="1" t="n"/>
      <c r="F582" s="1" t="n"/>
      <c r="G582" s="1" t="n"/>
      <c r="H582" s="3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6" t="n"/>
      <c r="D583" s="1" t="n"/>
      <c r="E583" s="1" t="n"/>
      <c r="F583" s="1" t="n"/>
      <c r="G583" s="1" t="n"/>
      <c r="H583" s="3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6" t="n"/>
      <c r="D584" s="1" t="n"/>
      <c r="E584" s="1" t="n"/>
      <c r="F584" s="1" t="n"/>
      <c r="G584" s="1" t="n"/>
      <c r="H584" s="3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6" t="n"/>
      <c r="D585" s="1" t="n"/>
      <c r="E585" s="1" t="n"/>
      <c r="F585" s="1" t="n"/>
      <c r="G585" s="1" t="n"/>
      <c r="H585" s="3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6" t="n"/>
      <c r="D586" s="1" t="n"/>
      <c r="E586" s="1" t="n"/>
      <c r="F586" s="1" t="n"/>
      <c r="G586" s="1" t="n"/>
      <c r="H586" s="3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6" t="n"/>
      <c r="D587" s="1" t="n"/>
      <c r="E587" s="1" t="n"/>
      <c r="F587" s="1" t="n"/>
      <c r="G587" s="1" t="n"/>
      <c r="H587" s="3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6" t="n"/>
      <c r="D588" s="1" t="n"/>
      <c r="E588" s="1" t="n"/>
      <c r="F588" s="1" t="n"/>
      <c r="G588" s="1" t="n"/>
      <c r="H588" s="3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6" t="n"/>
      <c r="D589" s="1" t="n"/>
      <c r="E589" s="1" t="n"/>
      <c r="F589" s="1" t="n"/>
      <c r="G589" s="1" t="n"/>
      <c r="H589" s="3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6" t="n"/>
      <c r="D590" s="1" t="n"/>
      <c r="E590" s="1" t="n"/>
      <c r="F590" s="1" t="n"/>
      <c r="G590" s="1" t="n"/>
      <c r="H590" s="3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6" t="n"/>
      <c r="D591" s="1" t="n"/>
      <c r="E591" s="1" t="n"/>
      <c r="F591" s="1" t="n"/>
      <c r="G591" s="1" t="n"/>
      <c r="H591" s="3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6" t="n"/>
      <c r="D592" s="1" t="n"/>
      <c r="E592" s="1" t="n"/>
      <c r="F592" s="1" t="n"/>
      <c r="G592" s="1" t="n"/>
      <c r="H592" s="3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6" t="n"/>
      <c r="D593" s="1" t="n"/>
      <c r="E593" s="1" t="n"/>
      <c r="F593" s="1" t="n"/>
      <c r="G593" s="1" t="n"/>
      <c r="H593" s="3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6" t="n"/>
      <c r="D594" s="1" t="n"/>
      <c r="E594" s="1" t="n"/>
      <c r="F594" s="1" t="n"/>
      <c r="G594" s="1" t="n"/>
      <c r="H594" s="3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6" t="n"/>
      <c r="D595" s="1" t="n"/>
      <c r="E595" s="1" t="n"/>
      <c r="F595" s="1" t="n"/>
      <c r="G595" s="1" t="n"/>
      <c r="H595" s="3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6" t="n"/>
      <c r="D596" s="1" t="n"/>
      <c r="E596" s="1" t="n"/>
      <c r="F596" s="1" t="n"/>
      <c r="G596" s="1" t="n"/>
      <c r="H596" s="3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6" t="n"/>
      <c r="D597" s="1" t="n"/>
      <c r="E597" s="1" t="n"/>
      <c r="F597" s="1" t="n"/>
      <c r="G597" s="1" t="n"/>
      <c r="H597" s="3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6" t="n"/>
      <c r="D598" s="1" t="n"/>
      <c r="E598" s="1" t="n"/>
      <c r="F598" s="1" t="n"/>
      <c r="G598" s="1" t="n"/>
      <c r="H598" s="3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6" t="n"/>
      <c r="D599" s="1" t="n"/>
      <c r="E599" s="1" t="n"/>
      <c r="F599" s="1" t="n"/>
      <c r="G599" s="1" t="n"/>
      <c r="H599" s="3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6" t="n"/>
      <c r="D600" s="1" t="n"/>
      <c r="E600" s="1" t="n"/>
      <c r="F600" s="1" t="n"/>
      <c r="G600" s="1" t="n"/>
      <c r="H600" s="3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6" t="n"/>
      <c r="D601" s="1" t="n"/>
      <c r="E601" s="1" t="n"/>
      <c r="F601" s="1" t="n"/>
      <c r="G601" s="1" t="n"/>
      <c r="H601" s="3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6" t="n"/>
      <c r="D602" s="1" t="n"/>
      <c r="E602" s="1" t="n"/>
      <c r="F602" s="1" t="n"/>
      <c r="G602" s="1" t="n"/>
      <c r="H602" s="3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6" t="n"/>
      <c r="D603" s="1" t="n"/>
      <c r="E603" s="1" t="n"/>
      <c r="F603" s="1" t="n"/>
      <c r="G603" s="1" t="n"/>
      <c r="H603" s="3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6" t="n"/>
      <c r="D604" s="1" t="n"/>
      <c r="E604" s="1" t="n"/>
      <c r="F604" s="1" t="n"/>
      <c r="G604" s="1" t="n"/>
      <c r="H604" s="3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6" t="n"/>
      <c r="D605" s="1" t="n"/>
      <c r="E605" s="1" t="n"/>
      <c r="F605" s="1" t="n"/>
      <c r="G605" s="1" t="n"/>
      <c r="H605" s="3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6" t="n"/>
      <c r="D606" s="1" t="n"/>
      <c r="E606" s="1" t="n"/>
      <c r="F606" s="1" t="n"/>
      <c r="G606" s="1" t="n"/>
      <c r="H606" s="3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6" t="n"/>
      <c r="D607" s="1" t="n"/>
      <c r="E607" s="1" t="n"/>
      <c r="F607" s="1" t="n"/>
      <c r="G607" s="1" t="n"/>
      <c r="H607" s="3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6" t="n"/>
      <c r="D608" s="1" t="n"/>
      <c r="E608" s="1" t="n"/>
      <c r="F608" s="1" t="n"/>
      <c r="G608" s="1" t="n"/>
      <c r="H608" s="3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6" t="n"/>
      <c r="D609" s="1" t="n"/>
      <c r="E609" s="1" t="n"/>
      <c r="F609" s="1" t="n"/>
      <c r="G609" s="1" t="n"/>
      <c r="H609" s="3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6" t="n"/>
      <c r="D610" s="1" t="n"/>
      <c r="E610" s="1" t="n"/>
      <c r="F610" s="1" t="n"/>
      <c r="G610" s="1" t="n"/>
      <c r="H610" s="3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6" t="n"/>
      <c r="D611" s="1" t="n"/>
      <c r="E611" s="1" t="n"/>
      <c r="F611" s="1" t="n"/>
      <c r="G611" s="1" t="n"/>
      <c r="H611" s="3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6" t="n"/>
      <c r="D612" s="1" t="n"/>
      <c r="E612" s="1" t="n"/>
      <c r="F612" s="1" t="n"/>
      <c r="G612" s="1" t="n"/>
      <c r="H612" s="3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6" t="n"/>
      <c r="D613" s="1" t="n"/>
      <c r="E613" s="1" t="n"/>
      <c r="F613" s="1" t="n"/>
      <c r="G613" s="1" t="n"/>
      <c r="H613" s="3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6" t="n"/>
      <c r="D614" s="1" t="n"/>
      <c r="E614" s="1" t="n"/>
      <c r="F614" s="1" t="n"/>
      <c r="G614" s="1" t="n"/>
      <c r="H614" s="3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6" t="n"/>
      <c r="D615" s="1" t="n"/>
      <c r="E615" s="1" t="n"/>
      <c r="F615" s="1" t="n"/>
      <c r="G615" s="1" t="n"/>
      <c r="H615" s="3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6" t="n"/>
      <c r="D616" s="1" t="n"/>
      <c r="E616" s="1" t="n"/>
      <c r="F616" s="1" t="n"/>
      <c r="G616" s="1" t="n"/>
      <c r="H616" s="3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6" t="n"/>
      <c r="D617" s="1" t="n"/>
      <c r="E617" s="1" t="n"/>
      <c r="F617" s="1" t="n"/>
      <c r="G617" s="1" t="n"/>
      <c r="H617" s="3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6" t="n"/>
      <c r="D618" s="1" t="n"/>
      <c r="E618" s="1" t="n"/>
      <c r="F618" s="1" t="n"/>
      <c r="G618" s="1" t="n"/>
      <c r="H618" s="3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6" t="n"/>
      <c r="D619" s="1" t="n"/>
      <c r="E619" s="1" t="n"/>
      <c r="F619" s="1" t="n"/>
      <c r="G619" s="1" t="n"/>
      <c r="H619" s="3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6" t="n"/>
      <c r="D620" s="1" t="n"/>
      <c r="E620" s="1" t="n"/>
      <c r="F620" s="1" t="n"/>
      <c r="G620" s="1" t="n"/>
      <c r="H620" s="3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6" t="n"/>
      <c r="D621" s="1" t="n"/>
      <c r="E621" s="1" t="n"/>
      <c r="F621" s="1" t="n"/>
      <c r="G621" s="1" t="n"/>
      <c r="H621" s="3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6" t="n"/>
      <c r="D622" s="1" t="n"/>
      <c r="E622" s="1" t="n"/>
      <c r="F622" s="1" t="n"/>
      <c r="G622" s="1" t="n"/>
      <c r="H622" s="3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6" t="n"/>
      <c r="D623" s="1" t="n"/>
      <c r="E623" s="1" t="n"/>
      <c r="F623" s="1" t="n"/>
      <c r="G623" s="1" t="n"/>
      <c r="H623" s="3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6" t="n"/>
      <c r="D624" s="1" t="n"/>
      <c r="E624" s="1" t="n"/>
      <c r="F624" s="1" t="n"/>
      <c r="G624" s="1" t="n"/>
      <c r="H624" s="3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6" t="n"/>
      <c r="D625" s="1" t="n"/>
      <c r="E625" s="1" t="n"/>
      <c r="F625" s="1" t="n"/>
      <c r="G625" s="1" t="n"/>
      <c r="H625" s="3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6" t="n"/>
      <c r="D626" s="1" t="n"/>
      <c r="E626" s="1" t="n"/>
      <c r="F626" s="1" t="n"/>
      <c r="G626" s="1" t="n"/>
      <c r="H626" s="3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6" t="n"/>
      <c r="D627" s="1" t="n"/>
      <c r="E627" s="1" t="n"/>
      <c r="F627" s="1" t="n"/>
      <c r="G627" s="1" t="n"/>
      <c r="H627" s="3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6" t="n"/>
      <c r="D628" s="1" t="n"/>
      <c r="E628" s="1" t="n"/>
      <c r="F628" s="1" t="n"/>
      <c r="G628" s="1" t="n"/>
      <c r="H628" s="3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6" t="n"/>
      <c r="D629" s="1" t="n"/>
      <c r="E629" s="1" t="n"/>
      <c r="F629" s="1" t="n"/>
      <c r="G629" s="1" t="n"/>
      <c r="H629" s="3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6" t="n"/>
      <c r="D630" s="1" t="n"/>
      <c r="E630" s="1" t="n"/>
      <c r="F630" s="1" t="n"/>
      <c r="G630" s="1" t="n"/>
      <c r="H630" s="3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6" t="n"/>
      <c r="D631" s="1" t="n"/>
      <c r="E631" s="1" t="n"/>
      <c r="F631" s="1" t="n"/>
      <c r="G631" s="1" t="n"/>
      <c r="H631" s="3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6" t="n"/>
      <c r="D632" s="1" t="n"/>
      <c r="E632" s="1" t="n"/>
      <c r="F632" s="1" t="n"/>
      <c r="G632" s="1" t="n"/>
      <c r="H632" s="3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6" t="n"/>
      <c r="D633" s="1" t="n"/>
      <c r="E633" s="1" t="n"/>
      <c r="F633" s="1" t="n"/>
      <c r="G633" s="1" t="n"/>
      <c r="H633" s="3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6" t="n"/>
      <c r="D634" s="1" t="n"/>
      <c r="E634" s="1" t="n"/>
      <c r="F634" s="1" t="n"/>
      <c r="G634" s="1" t="n"/>
      <c r="H634" s="3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6" t="n"/>
      <c r="D635" s="1" t="n"/>
      <c r="E635" s="1" t="n"/>
      <c r="F635" s="1" t="n"/>
      <c r="G635" s="1" t="n"/>
      <c r="H635" s="3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6" t="n"/>
      <c r="D636" s="1" t="n"/>
      <c r="E636" s="1" t="n"/>
      <c r="F636" s="1" t="n"/>
      <c r="G636" s="1" t="n"/>
      <c r="H636" s="3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6" t="n"/>
      <c r="D637" s="1" t="n"/>
      <c r="E637" s="1" t="n"/>
      <c r="F637" s="1" t="n"/>
      <c r="G637" s="1" t="n"/>
      <c r="H637" s="3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6" t="n"/>
      <c r="D638" s="1" t="n"/>
      <c r="E638" s="1" t="n"/>
      <c r="F638" s="1" t="n"/>
      <c r="G638" s="1" t="n"/>
      <c r="H638" s="3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6" t="n"/>
      <c r="D639" s="1" t="n"/>
      <c r="E639" s="1" t="n"/>
      <c r="F639" s="1" t="n"/>
      <c r="G639" s="1" t="n"/>
      <c r="H639" s="3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6" t="n"/>
      <c r="D640" s="1" t="n"/>
      <c r="E640" s="1" t="n"/>
      <c r="F640" s="1" t="n"/>
      <c r="G640" s="1" t="n"/>
      <c r="H640" s="3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6" t="n"/>
      <c r="D641" s="1" t="n"/>
      <c r="E641" s="1" t="n"/>
      <c r="F641" s="1" t="n"/>
      <c r="G641" s="1" t="n"/>
      <c r="H641" s="3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6" t="n"/>
      <c r="D642" s="1" t="n"/>
      <c r="E642" s="1" t="n"/>
      <c r="F642" s="1" t="n"/>
      <c r="G642" s="1" t="n"/>
      <c r="H642" s="3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6" t="n"/>
      <c r="D643" s="1" t="n"/>
      <c r="E643" s="1" t="n"/>
      <c r="F643" s="1" t="n"/>
      <c r="G643" s="1" t="n"/>
      <c r="H643" s="3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6" t="n"/>
      <c r="D644" s="1" t="n"/>
      <c r="E644" s="1" t="n"/>
      <c r="F644" s="1" t="n"/>
      <c r="G644" s="1" t="n"/>
      <c r="H644" s="3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6" t="n"/>
      <c r="D645" s="1" t="n"/>
      <c r="E645" s="1" t="n"/>
      <c r="F645" s="1" t="n"/>
      <c r="G645" s="1" t="n"/>
      <c r="H645" s="3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6" t="n"/>
      <c r="D646" s="1" t="n"/>
      <c r="E646" s="1" t="n"/>
      <c r="F646" s="1" t="n"/>
      <c r="G646" s="1" t="n"/>
      <c r="H646" s="3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6" t="n"/>
      <c r="D647" s="1" t="n"/>
      <c r="E647" s="1" t="n"/>
      <c r="F647" s="1" t="n"/>
      <c r="G647" s="1" t="n"/>
      <c r="H647" s="3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6" t="n"/>
      <c r="D648" s="1" t="n"/>
      <c r="E648" s="1" t="n"/>
      <c r="F648" s="1" t="n"/>
      <c r="G648" s="1" t="n"/>
      <c r="H648" s="3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6" t="n"/>
      <c r="D649" s="1" t="n"/>
      <c r="E649" s="1" t="n"/>
      <c r="F649" s="1" t="n"/>
      <c r="G649" s="1" t="n"/>
      <c r="H649" s="3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6" t="n"/>
      <c r="D650" s="1" t="n"/>
      <c r="E650" s="1" t="n"/>
      <c r="F650" s="1" t="n"/>
      <c r="G650" s="1" t="n"/>
      <c r="H650" s="3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6" t="n"/>
      <c r="D651" s="1" t="n"/>
      <c r="E651" s="1" t="n"/>
      <c r="F651" s="1" t="n"/>
      <c r="G651" s="1" t="n"/>
      <c r="H651" s="3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6" t="n"/>
      <c r="D652" s="1" t="n"/>
      <c r="E652" s="1" t="n"/>
      <c r="F652" s="1" t="n"/>
      <c r="G652" s="1" t="n"/>
      <c r="H652" s="3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6" t="n"/>
      <c r="D653" s="1" t="n"/>
      <c r="E653" s="1" t="n"/>
      <c r="F653" s="1" t="n"/>
      <c r="G653" s="1" t="n"/>
      <c r="H653" s="3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6" t="n"/>
      <c r="D654" s="1" t="n"/>
      <c r="E654" s="1" t="n"/>
      <c r="F654" s="1" t="n"/>
      <c r="G654" s="1" t="n"/>
      <c r="H654" s="3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6" t="n"/>
      <c r="D655" s="1" t="n"/>
      <c r="E655" s="1" t="n"/>
      <c r="F655" s="1" t="n"/>
      <c r="G655" s="1" t="n"/>
      <c r="H655" s="3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6" t="n"/>
      <c r="D656" s="1" t="n"/>
      <c r="E656" s="1" t="n"/>
      <c r="F656" s="1" t="n"/>
      <c r="G656" s="1" t="n"/>
      <c r="H656" s="3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6" t="n"/>
      <c r="D657" s="1" t="n"/>
      <c r="E657" s="1" t="n"/>
      <c r="F657" s="1" t="n"/>
      <c r="G657" s="1" t="n"/>
      <c r="H657" s="3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6" t="n"/>
      <c r="D658" s="1" t="n"/>
      <c r="E658" s="1" t="n"/>
      <c r="F658" s="1" t="n"/>
      <c r="G658" s="1" t="n"/>
      <c r="H658" s="3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6" t="n"/>
      <c r="D659" s="1" t="n"/>
      <c r="E659" s="1" t="n"/>
      <c r="F659" s="1" t="n"/>
      <c r="G659" s="1" t="n"/>
      <c r="H659" s="3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6" t="n"/>
      <c r="D660" s="1" t="n"/>
      <c r="E660" s="1" t="n"/>
      <c r="F660" s="1" t="n"/>
      <c r="G660" s="1" t="n"/>
      <c r="H660" s="3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6" t="n"/>
      <c r="D661" s="1" t="n"/>
      <c r="E661" s="1" t="n"/>
      <c r="F661" s="1" t="n"/>
      <c r="G661" s="1" t="n"/>
      <c r="H661" s="3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6" t="n"/>
      <c r="D662" s="1" t="n"/>
      <c r="E662" s="1" t="n"/>
      <c r="F662" s="1" t="n"/>
      <c r="G662" s="1" t="n"/>
      <c r="H662" s="3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6" t="n"/>
      <c r="D663" s="1" t="n"/>
      <c r="E663" s="1" t="n"/>
      <c r="F663" s="1" t="n"/>
      <c r="G663" s="1" t="n"/>
      <c r="H663" s="3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6" t="n"/>
      <c r="D664" s="1" t="n"/>
      <c r="E664" s="1" t="n"/>
      <c r="F664" s="1" t="n"/>
      <c r="G664" s="1" t="n"/>
      <c r="H664" s="3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6" t="n"/>
      <c r="D665" s="1" t="n"/>
      <c r="E665" s="1" t="n"/>
      <c r="F665" s="1" t="n"/>
      <c r="G665" s="1" t="n"/>
      <c r="H665" s="3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6" t="n"/>
      <c r="D666" s="1" t="n"/>
      <c r="E666" s="1" t="n"/>
      <c r="F666" s="1" t="n"/>
      <c r="G666" s="1" t="n"/>
      <c r="H666" s="3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6" t="n"/>
      <c r="D667" s="1" t="n"/>
      <c r="E667" s="1" t="n"/>
      <c r="F667" s="1" t="n"/>
      <c r="G667" s="1" t="n"/>
      <c r="H667" s="3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6" t="n"/>
      <c r="D668" s="1" t="n"/>
      <c r="E668" s="1" t="n"/>
      <c r="F668" s="1" t="n"/>
      <c r="G668" s="1" t="n"/>
      <c r="H668" s="3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6" t="n"/>
      <c r="D669" s="1" t="n"/>
      <c r="E669" s="1" t="n"/>
      <c r="F669" s="1" t="n"/>
      <c r="G669" s="1" t="n"/>
      <c r="H669" s="3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6" t="n"/>
      <c r="D670" s="1" t="n"/>
      <c r="E670" s="1" t="n"/>
      <c r="F670" s="1" t="n"/>
      <c r="G670" s="1" t="n"/>
      <c r="H670" s="3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6" t="n"/>
      <c r="D671" s="1" t="n"/>
      <c r="E671" s="1" t="n"/>
      <c r="F671" s="1" t="n"/>
      <c r="G671" s="1" t="n"/>
      <c r="H671" s="3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6" t="n"/>
      <c r="D672" s="1" t="n"/>
      <c r="E672" s="1" t="n"/>
      <c r="F672" s="1" t="n"/>
      <c r="G672" s="1" t="n"/>
      <c r="H672" s="3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6" t="n"/>
      <c r="D673" s="1" t="n"/>
      <c r="E673" s="1" t="n"/>
      <c r="F673" s="1" t="n"/>
      <c r="G673" s="1" t="n"/>
      <c r="H673" s="3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6" t="n"/>
      <c r="D674" s="1" t="n"/>
      <c r="E674" s="1" t="n"/>
      <c r="F674" s="1" t="n"/>
      <c r="G674" s="1" t="n"/>
      <c r="H674" s="3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6" t="n"/>
      <c r="D675" s="1" t="n"/>
      <c r="E675" s="1" t="n"/>
      <c r="F675" s="1" t="n"/>
      <c r="G675" s="1" t="n"/>
      <c r="H675" s="3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6" t="n"/>
      <c r="D676" s="1" t="n"/>
      <c r="E676" s="1" t="n"/>
      <c r="F676" s="1" t="n"/>
      <c r="G676" s="1" t="n"/>
      <c r="H676" s="3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6" t="n"/>
      <c r="D677" s="1" t="n"/>
      <c r="E677" s="1" t="n"/>
      <c r="F677" s="1" t="n"/>
      <c r="G677" s="1" t="n"/>
      <c r="H677" s="3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6" t="n"/>
      <c r="D678" s="1" t="n"/>
      <c r="E678" s="1" t="n"/>
      <c r="F678" s="1" t="n"/>
      <c r="G678" s="1" t="n"/>
      <c r="H678" s="3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6" t="n"/>
      <c r="D679" s="1" t="n"/>
      <c r="E679" s="1" t="n"/>
      <c r="F679" s="1" t="n"/>
      <c r="G679" s="1" t="n"/>
      <c r="H679" s="3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6" t="n"/>
      <c r="D680" s="1" t="n"/>
      <c r="E680" s="1" t="n"/>
      <c r="F680" s="1" t="n"/>
      <c r="G680" s="1" t="n"/>
      <c r="H680" s="3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6" t="n"/>
      <c r="D681" s="1" t="n"/>
      <c r="E681" s="1" t="n"/>
      <c r="F681" s="1" t="n"/>
      <c r="G681" s="1" t="n"/>
      <c r="H681" s="3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6" t="n"/>
      <c r="D682" s="1" t="n"/>
      <c r="E682" s="1" t="n"/>
      <c r="F682" s="1" t="n"/>
      <c r="G682" s="1" t="n"/>
      <c r="H682" s="3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6" t="n"/>
      <c r="D683" s="1" t="n"/>
      <c r="E683" s="1" t="n"/>
      <c r="F683" s="1" t="n"/>
      <c r="G683" s="1" t="n"/>
      <c r="H683" s="3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6" t="n"/>
      <c r="D684" s="1" t="n"/>
      <c r="E684" s="1" t="n"/>
      <c r="F684" s="1" t="n"/>
      <c r="G684" s="1" t="n"/>
      <c r="H684" s="3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6" t="n"/>
      <c r="D685" s="1" t="n"/>
      <c r="E685" s="1" t="n"/>
      <c r="F685" s="1" t="n"/>
      <c r="G685" s="1" t="n"/>
      <c r="H685" s="3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6" t="n"/>
      <c r="D686" s="1" t="n"/>
      <c r="E686" s="1" t="n"/>
      <c r="F686" s="1" t="n"/>
      <c r="G686" s="1" t="n"/>
      <c r="H686" s="3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6" t="n"/>
      <c r="D687" s="1" t="n"/>
      <c r="E687" s="1" t="n"/>
      <c r="F687" s="1" t="n"/>
      <c r="G687" s="1" t="n"/>
      <c r="H687" s="3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6" t="n"/>
      <c r="D688" s="1" t="n"/>
      <c r="E688" s="1" t="n"/>
      <c r="F688" s="1" t="n"/>
      <c r="G688" s="1" t="n"/>
      <c r="H688" s="3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6" t="n"/>
      <c r="D689" s="1" t="n"/>
      <c r="E689" s="1" t="n"/>
      <c r="F689" s="1" t="n"/>
      <c r="G689" s="1" t="n"/>
      <c r="H689" s="3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6" t="n"/>
      <c r="D690" s="1" t="n"/>
      <c r="E690" s="1" t="n"/>
      <c r="F690" s="1" t="n"/>
      <c r="G690" s="1" t="n"/>
      <c r="H690" s="3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6" t="n"/>
      <c r="D691" s="1" t="n"/>
      <c r="E691" s="1" t="n"/>
      <c r="F691" s="1" t="n"/>
      <c r="G691" s="1" t="n"/>
      <c r="H691" s="3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6" t="n"/>
      <c r="D692" s="1" t="n"/>
      <c r="E692" s="1" t="n"/>
      <c r="F692" s="1" t="n"/>
      <c r="G692" s="1" t="n"/>
      <c r="H692" s="3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6" t="n"/>
      <c r="D693" s="1" t="n"/>
      <c r="E693" s="1" t="n"/>
      <c r="F693" s="1" t="n"/>
      <c r="G693" s="1" t="n"/>
      <c r="H693" s="3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6" t="n"/>
      <c r="D694" s="1" t="n"/>
      <c r="E694" s="1" t="n"/>
      <c r="F694" s="1" t="n"/>
      <c r="G694" s="1" t="n"/>
      <c r="H694" s="3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6" t="n"/>
      <c r="D695" s="1" t="n"/>
      <c r="E695" s="1" t="n"/>
      <c r="F695" s="1" t="n"/>
      <c r="G695" s="1" t="n"/>
      <c r="H695" s="3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6" t="n"/>
      <c r="D696" s="1" t="n"/>
      <c r="E696" s="1" t="n"/>
      <c r="F696" s="1" t="n"/>
      <c r="G696" s="1" t="n"/>
      <c r="H696" s="3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6" t="n"/>
      <c r="D697" s="1" t="n"/>
      <c r="E697" s="1" t="n"/>
      <c r="F697" s="1" t="n"/>
      <c r="G697" s="1" t="n"/>
      <c r="H697" s="3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6" t="n"/>
      <c r="D698" s="1" t="n"/>
      <c r="E698" s="1" t="n"/>
      <c r="F698" s="1" t="n"/>
      <c r="G698" s="1" t="n"/>
      <c r="H698" s="3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6" t="n"/>
      <c r="D699" s="1" t="n"/>
      <c r="E699" s="1" t="n"/>
      <c r="F699" s="1" t="n"/>
      <c r="G699" s="1" t="n"/>
      <c r="H699" s="3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6" t="n"/>
      <c r="D700" s="1" t="n"/>
      <c r="E700" s="1" t="n"/>
      <c r="F700" s="1" t="n"/>
      <c r="G700" s="1" t="n"/>
      <c r="H700" s="3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6" t="n"/>
      <c r="D701" s="1" t="n"/>
      <c r="E701" s="1" t="n"/>
      <c r="F701" s="1" t="n"/>
      <c r="G701" s="1" t="n"/>
      <c r="H701" s="3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6" t="n"/>
      <c r="D702" s="1" t="n"/>
      <c r="E702" s="1" t="n"/>
      <c r="F702" s="1" t="n"/>
      <c r="G702" s="1" t="n"/>
      <c r="H702" s="3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6" t="n"/>
      <c r="D703" s="1" t="n"/>
      <c r="E703" s="1" t="n"/>
      <c r="F703" s="1" t="n"/>
      <c r="G703" s="1" t="n"/>
      <c r="H703" s="3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6" t="n"/>
      <c r="D704" s="1" t="n"/>
      <c r="E704" s="1" t="n"/>
      <c r="F704" s="1" t="n"/>
      <c r="G704" s="1" t="n"/>
      <c r="H704" s="3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6" t="n"/>
      <c r="D705" s="1" t="n"/>
      <c r="E705" s="1" t="n"/>
      <c r="F705" s="1" t="n"/>
      <c r="G705" s="1" t="n"/>
      <c r="H705" s="3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6" t="n"/>
      <c r="D706" s="1" t="n"/>
      <c r="E706" s="1" t="n"/>
      <c r="F706" s="1" t="n"/>
      <c r="G706" s="1" t="n"/>
      <c r="H706" s="3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6" t="n"/>
      <c r="D707" s="1" t="n"/>
      <c r="E707" s="1" t="n"/>
      <c r="F707" s="1" t="n"/>
      <c r="G707" s="1" t="n"/>
      <c r="H707" s="3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6" t="n"/>
      <c r="D708" s="1" t="n"/>
      <c r="E708" s="1" t="n"/>
      <c r="F708" s="1" t="n"/>
      <c r="G708" s="1" t="n"/>
      <c r="H708" s="3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6" t="n"/>
      <c r="D709" s="1" t="n"/>
      <c r="E709" s="1" t="n"/>
      <c r="F709" s="1" t="n"/>
      <c r="G709" s="1" t="n"/>
      <c r="H709" s="3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6" t="n"/>
      <c r="D710" s="1" t="n"/>
      <c r="E710" s="1" t="n"/>
      <c r="F710" s="1" t="n"/>
      <c r="G710" s="1" t="n"/>
      <c r="H710" s="3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6" t="n"/>
      <c r="D711" s="1" t="n"/>
      <c r="E711" s="1" t="n"/>
      <c r="F711" s="1" t="n"/>
      <c r="G711" s="1" t="n"/>
      <c r="H711" s="3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6" t="n"/>
      <c r="D712" s="1" t="n"/>
      <c r="E712" s="1" t="n"/>
      <c r="F712" s="1" t="n"/>
      <c r="G712" s="1" t="n"/>
      <c r="H712" s="3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6" t="n"/>
      <c r="D713" s="1" t="n"/>
      <c r="E713" s="1" t="n"/>
      <c r="F713" s="1" t="n"/>
      <c r="G713" s="1" t="n"/>
      <c r="H713" s="3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6" t="n"/>
      <c r="D714" s="1" t="n"/>
      <c r="E714" s="1" t="n"/>
      <c r="F714" s="1" t="n"/>
      <c r="G714" s="1" t="n"/>
      <c r="H714" s="3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6" t="n"/>
      <c r="D715" s="1" t="n"/>
      <c r="E715" s="1" t="n"/>
      <c r="F715" s="1" t="n"/>
      <c r="G715" s="1" t="n"/>
      <c r="H715" s="3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6" t="n"/>
      <c r="D716" s="1" t="n"/>
      <c r="E716" s="1" t="n"/>
      <c r="F716" s="1" t="n"/>
      <c r="G716" s="1" t="n"/>
      <c r="H716" s="3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6" t="n"/>
      <c r="D717" s="1" t="n"/>
      <c r="E717" s="1" t="n"/>
      <c r="F717" s="1" t="n"/>
      <c r="G717" s="1" t="n"/>
      <c r="H717" s="3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6" t="n"/>
      <c r="D718" s="1" t="n"/>
      <c r="E718" s="1" t="n"/>
      <c r="F718" s="1" t="n"/>
      <c r="G718" s="1" t="n"/>
      <c r="H718" s="3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6" t="n"/>
      <c r="D719" s="1" t="n"/>
      <c r="E719" s="1" t="n"/>
      <c r="F719" s="1" t="n"/>
      <c r="G719" s="1" t="n"/>
      <c r="H719" s="3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6" t="n"/>
      <c r="D720" s="1" t="n"/>
      <c r="E720" s="1" t="n"/>
      <c r="F720" s="1" t="n"/>
      <c r="G720" s="1" t="n"/>
      <c r="H720" s="3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6" t="n"/>
      <c r="D721" s="1" t="n"/>
      <c r="E721" s="1" t="n"/>
      <c r="F721" s="1" t="n"/>
      <c r="G721" s="1" t="n"/>
      <c r="H721" s="3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6" t="n"/>
      <c r="D722" s="1" t="n"/>
      <c r="E722" s="1" t="n"/>
      <c r="F722" s="1" t="n"/>
      <c r="G722" s="1" t="n"/>
      <c r="H722" s="3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6" t="n"/>
      <c r="D723" s="1" t="n"/>
      <c r="E723" s="1" t="n"/>
      <c r="F723" s="1" t="n"/>
      <c r="G723" s="1" t="n"/>
      <c r="H723" s="3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6" t="n"/>
      <c r="D724" s="1" t="n"/>
      <c r="E724" s="1" t="n"/>
      <c r="F724" s="1" t="n"/>
      <c r="G724" s="1" t="n"/>
      <c r="H724" s="3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6" t="n"/>
      <c r="D725" s="1" t="n"/>
      <c r="E725" s="1" t="n"/>
      <c r="F725" s="1" t="n"/>
      <c r="G725" s="1" t="n"/>
      <c r="H725" s="3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6" t="n"/>
      <c r="D726" s="1" t="n"/>
      <c r="E726" s="1" t="n"/>
      <c r="F726" s="1" t="n"/>
      <c r="G726" s="1" t="n"/>
      <c r="H726" s="3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6" t="n"/>
      <c r="D727" s="1" t="n"/>
      <c r="E727" s="1" t="n"/>
      <c r="F727" s="1" t="n"/>
      <c r="G727" s="1" t="n"/>
      <c r="H727" s="3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6" t="n"/>
      <c r="D728" s="1" t="n"/>
      <c r="E728" s="1" t="n"/>
      <c r="F728" s="1" t="n"/>
      <c r="G728" s="1" t="n"/>
      <c r="H728" s="3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6" t="n"/>
      <c r="D729" s="1" t="n"/>
      <c r="E729" s="1" t="n"/>
      <c r="F729" s="1" t="n"/>
      <c r="G729" s="1" t="n"/>
      <c r="H729" s="3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6" t="n"/>
      <c r="D730" s="1" t="n"/>
      <c r="E730" s="1" t="n"/>
      <c r="F730" s="1" t="n"/>
      <c r="G730" s="1" t="n"/>
      <c r="H730" s="3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6" t="n"/>
      <c r="D731" s="1" t="n"/>
      <c r="E731" s="1" t="n"/>
      <c r="F731" s="1" t="n"/>
      <c r="G731" s="1" t="n"/>
      <c r="H731" s="3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6" t="n"/>
      <c r="D732" s="1" t="n"/>
      <c r="E732" s="1" t="n"/>
      <c r="F732" s="1" t="n"/>
      <c r="G732" s="1" t="n"/>
      <c r="H732" s="3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6" t="n"/>
      <c r="D733" s="1" t="n"/>
      <c r="E733" s="1" t="n"/>
      <c r="F733" s="1" t="n"/>
      <c r="G733" s="1" t="n"/>
      <c r="H733" s="3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6" t="n"/>
      <c r="D734" s="1" t="n"/>
      <c r="E734" s="1" t="n"/>
      <c r="F734" s="1" t="n"/>
      <c r="G734" s="1" t="n"/>
      <c r="H734" s="3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6" t="n"/>
      <c r="D735" s="1" t="n"/>
      <c r="E735" s="1" t="n"/>
      <c r="F735" s="1" t="n"/>
      <c r="G735" s="1" t="n"/>
      <c r="H735" s="3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6" t="n"/>
      <c r="D736" s="1" t="n"/>
      <c r="E736" s="1" t="n"/>
      <c r="F736" s="1" t="n"/>
      <c r="G736" s="1" t="n"/>
      <c r="H736" s="3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6" t="n"/>
      <c r="D737" s="1" t="n"/>
      <c r="E737" s="1" t="n"/>
      <c r="F737" s="1" t="n"/>
      <c r="G737" s="1" t="n"/>
      <c r="H737" s="3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6" t="n"/>
      <c r="D738" s="1" t="n"/>
      <c r="E738" s="1" t="n"/>
      <c r="F738" s="1" t="n"/>
      <c r="G738" s="1" t="n"/>
      <c r="H738" s="3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6" t="n"/>
      <c r="D739" s="1" t="n"/>
      <c r="E739" s="1" t="n"/>
      <c r="F739" s="1" t="n"/>
      <c r="G739" s="1" t="n"/>
      <c r="H739" s="3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6" t="n"/>
      <c r="D740" s="1" t="n"/>
      <c r="E740" s="1" t="n"/>
      <c r="F740" s="1" t="n"/>
      <c r="G740" s="1" t="n"/>
      <c r="H740" s="3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6" t="n"/>
      <c r="D741" s="1" t="n"/>
      <c r="E741" s="1" t="n"/>
      <c r="F741" s="1" t="n"/>
      <c r="G741" s="1" t="n"/>
      <c r="H741" s="3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6" t="n"/>
      <c r="D742" s="1" t="n"/>
      <c r="E742" s="1" t="n"/>
      <c r="F742" s="1" t="n"/>
      <c r="G742" s="1" t="n"/>
      <c r="H742" s="3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6" t="n"/>
      <c r="D743" s="1" t="n"/>
      <c r="E743" s="1" t="n"/>
      <c r="F743" s="1" t="n"/>
      <c r="G743" s="1" t="n"/>
      <c r="H743" s="3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6" t="n"/>
      <c r="D744" s="1" t="n"/>
      <c r="E744" s="1" t="n"/>
      <c r="F744" s="1" t="n"/>
      <c r="G744" s="1" t="n"/>
      <c r="H744" s="3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6" t="n"/>
      <c r="D745" s="1" t="n"/>
      <c r="E745" s="1" t="n"/>
      <c r="F745" s="1" t="n"/>
      <c r="G745" s="1" t="n"/>
      <c r="H745" s="3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6" t="n"/>
      <c r="D746" s="1" t="n"/>
      <c r="E746" s="1" t="n"/>
      <c r="F746" s="1" t="n"/>
      <c r="G746" s="1" t="n"/>
      <c r="H746" s="3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6" t="n"/>
      <c r="D747" s="1" t="n"/>
      <c r="E747" s="1" t="n"/>
      <c r="F747" s="1" t="n"/>
      <c r="G747" s="1" t="n"/>
      <c r="H747" s="3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6" t="n"/>
      <c r="D748" s="1" t="n"/>
      <c r="E748" s="1" t="n"/>
      <c r="F748" s="1" t="n"/>
      <c r="G748" s="1" t="n"/>
      <c r="H748" s="3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6" t="n"/>
      <c r="D749" s="1" t="n"/>
      <c r="E749" s="1" t="n"/>
      <c r="F749" s="1" t="n"/>
      <c r="G749" s="1" t="n"/>
      <c r="H749" s="3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6" t="n"/>
      <c r="D750" s="1" t="n"/>
      <c r="E750" s="1" t="n"/>
      <c r="F750" s="1" t="n"/>
      <c r="G750" s="1" t="n"/>
      <c r="H750" s="3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6" t="n"/>
      <c r="D751" s="1" t="n"/>
      <c r="E751" s="1" t="n"/>
      <c r="F751" s="1" t="n"/>
      <c r="G751" s="1" t="n"/>
      <c r="H751" s="3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6" t="n"/>
      <c r="D752" s="1" t="n"/>
      <c r="E752" s="1" t="n"/>
      <c r="F752" s="1" t="n"/>
      <c r="G752" s="1" t="n"/>
      <c r="H752" s="3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6" t="n"/>
      <c r="D753" s="1" t="n"/>
      <c r="E753" s="1" t="n"/>
      <c r="F753" s="1" t="n"/>
      <c r="G753" s="1" t="n"/>
      <c r="H753" s="3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6" t="n"/>
      <c r="D754" s="1" t="n"/>
      <c r="E754" s="1" t="n"/>
      <c r="F754" s="1" t="n"/>
      <c r="G754" s="1" t="n"/>
      <c r="H754" s="3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6" t="n"/>
      <c r="D755" s="1" t="n"/>
      <c r="E755" s="1" t="n"/>
      <c r="F755" s="1" t="n"/>
      <c r="G755" s="1" t="n"/>
      <c r="H755" s="3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6" t="n"/>
      <c r="D756" s="1" t="n"/>
      <c r="E756" s="1" t="n"/>
      <c r="F756" s="1" t="n"/>
      <c r="G756" s="1" t="n"/>
      <c r="H756" s="3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6" t="n"/>
      <c r="D757" s="1" t="n"/>
      <c r="E757" s="1" t="n"/>
      <c r="F757" s="1" t="n"/>
      <c r="G757" s="1" t="n"/>
      <c r="H757" s="3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6" t="n"/>
      <c r="D758" s="1" t="n"/>
      <c r="E758" s="1" t="n"/>
      <c r="F758" s="1" t="n"/>
      <c r="G758" s="1" t="n"/>
      <c r="H758" s="3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6" t="n"/>
      <c r="D759" s="1" t="n"/>
      <c r="E759" s="1" t="n"/>
      <c r="F759" s="1" t="n"/>
      <c r="G759" s="1" t="n"/>
      <c r="H759" s="3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6" t="n"/>
      <c r="D760" s="1" t="n"/>
      <c r="E760" s="1" t="n"/>
      <c r="F760" s="1" t="n"/>
      <c r="G760" s="1" t="n"/>
      <c r="H760" s="3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6" t="n"/>
      <c r="D761" s="1" t="n"/>
      <c r="E761" s="1" t="n"/>
      <c r="F761" s="1" t="n"/>
      <c r="G761" s="1" t="n"/>
      <c r="H761" s="3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6" t="n"/>
      <c r="D762" s="1" t="n"/>
      <c r="E762" s="1" t="n"/>
      <c r="F762" s="1" t="n"/>
      <c r="G762" s="1" t="n"/>
      <c r="H762" s="3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6" t="n"/>
      <c r="D763" s="1" t="n"/>
      <c r="E763" s="1" t="n"/>
      <c r="F763" s="1" t="n"/>
      <c r="G763" s="1" t="n"/>
      <c r="H763" s="3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6" t="n"/>
      <c r="D764" s="1" t="n"/>
      <c r="E764" s="1" t="n"/>
      <c r="F764" s="1" t="n"/>
      <c r="G764" s="1" t="n"/>
      <c r="H764" s="3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6" t="n"/>
      <c r="D765" s="1" t="n"/>
      <c r="E765" s="1" t="n"/>
      <c r="F765" s="1" t="n"/>
      <c r="G765" s="1" t="n"/>
      <c r="H765" s="3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6" t="n"/>
      <c r="D766" s="1" t="n"/>
      <c r="E766" s="1" t="n"/>
      <c r="F766" s="1" t="n"/>
      <c r="G766" s="1" t="n"/>
      <c r="H766" s="3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6" t="n"/>
      <c r="D767" s="1" t="n"/>
      <c r="E767" s="1" t="n"/>
      <c r="F767" s="1" t="n"/>
      <c r="G767" s="1" t="n"/>
      <c r="H767" s="3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6" t="n"/>
      <c r="D768" s="1" t="n"/>
      <c r="E768" s="1" t="n"/>
      <c r="F768" s="1" t="n"/>
      <c r="G768" s="1" t="n"/>
      <c r="H768" s="3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6" t="n"/>
      <c r="D769" s="1" t="n"/>
      <c r="E769" s="1" t="n"/>
      <c r="F769" s="1" t="n"/>
      <c r="G769" s="1" t="n"/>
      <c r="H769" s="3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6" t="n"/>
      <c r="D770" s="1" t="n"/>
      <c r="E770" s="1" t="n"/>
      <c r="F770" s="1" t="n"/>
      <c r="G770" s="1" t="n"/>
      <c r="H770" s="3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6" t="n"/>
      <c r="D771" s="1" t="n"/>
      <c r="E771" s="1" t="n"/>
      <c r="F771" s="1" t="n"/>
      <c r="G771" s="1" t="n"/>
      <c r="H771" s="3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6" t="n"/>
      <c r="D772" s="1" t="n"/>
      <c r="E772" s="1" t="n"/>
      <c r="F772" s="1" t="n"/>
      <c r="G772" s="1" t="n"/>
      <c r="H772" s="3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6" t="n"/>
      <c r="D773" s="1" t="n"/>
      <c r="E773" s="1" t="n"/>
      <c r="F773" s="1" t="n"/>
      <c r="G773" s="1" t="n"/>
      <c r="H773" s="3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6" t="n"/>
      <c r="D774" s="1" t="n"/>
      <c r="E774" s="1" t="n"/>
      <c r="F774" s="1" t="n"/>
      <c r="G774" s="1" t="n"/>
      <c r="H774" s="3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6" t="n"/>
      <c r="D775" s="1" t="n"/>
      <c r="E775" s="1" t="n"/>
      <c r="F775" s="1" t="n"/>
      <c r="G775" s="1" t="n"/>
      <c r="H775" s="3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6" t="n"/>
      <c r="D776" s="1" t="n"/>
      <c r="E776" s="1" t="n"/>
      <c r="F776" s="1" t="n"/>
      <c r="G776" s="1" t="n"/>
      <c r="H776" s="3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6" t="n"/>
      <c r="D777" s="1" t="n"/>
      <c r="E777" s="1" t="n"/>
      <c r="F777" s="1" t="n"/>
      <c r="G777" s="1" t="n"/>
      <c r="H777" s="3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6" t="n"/>
      <c r="D778" s="1" t="n"/>
      <c r="E778" s="1" t="n"/>
      <c r="F778" s="1" t="n"/>
      <c r="G778" s="1" t="n"/>
      <c r="H778" s="3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6" t="n"/>
      <c r="D779" s="1" t="n"/>
      <c r="E779" s="1" t="n"/>
      <c r="F779" s="1" t="n"/>
      <c r="G779" s="1" t="n"/>
      <c r="H779" s="3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6" t="n"/>
      <c r="D780" s="1" t="n"/>
      <c r="E780" s="1" t="n"/>
      <c r="F780" s="1" t="n"/>
      <c r="G780" s="1" t="n"/>
      <c r="H780" s="3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6" t="n"/>
      <c r="D781" s="1" t="n"/>
      <c r="E781" s="1" t="n"/>
      <c r="F781" s="1" t="n"/>
      <c r="G781" s="1" t="n"/>
      <c r="H781" s="3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6" t="n"/>
      <c r="D782" s="1" t="n"/>
      <c r="E782" s="1" t="n"/>
      <c r="F782" s="1" t="n"/>
      <c r="G782" s="1" t="n"/>
      <c r="H782" s="3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6" t="n"/>
      <c r="D783" s="1" t="n"/>
      <c r="E783" s="1" t="n"/>
      <c r="F783" s="1" t="n"/>
      <c r="G783" s="1" t="n"/>
      <c r="H783" s="3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6" t="n"/>
      <c r="D784" s="1" t="n"/>
      <c r="E784" s="1" t="n"/>
      <c r="F784" s="1" t="n"/>
      <c r="G784" s="1" t="n"/>
      <c r="H784" s="3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6" t="n"/>
      <c r="D785" s="1" t="n"/>
      <c r="E785" s="1" t="n"/>
      <c r="F785" s="1" t="n"/>
      <c r="G785" s="1" t="n"/>
      <c r="H785" s="3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6" t="n"/>
      <c r="D786" s="1" t="n"/>
      <c r="E786" s="1" t="n"/>
      <c r="F786" s="1" t="n"/>
      <c r="G786" s="1" t="n"/>
      <c r="H786" s="3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6" t="n"/>
      <c r="D787" s="1" t="n"/>
      <c r="E787" s="1" t="n"/>
      <c r="F787" s="1" t="n"/>
      <c r="G787" s="1" t="n"/>
      <c r="H787" s="3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6" t="n"/>
      <c r="D788" s="1" t="n"/>
      <c r="E788" s="1" t="n"/>
      <c r="F788" s="1" t="n"/>
      <c r="G788" s="1" t="n"/>
      <c r="H788" s="3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6" t="n"/>
      <c r="D789" s="1" t="n"/>
      <c r="E789" s="1" t="n"/>
      <c r="F789" s="1" t="n"/>
      <c r="G789" s="1" t="n"/>
      <c r="H789" s="3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6" t="n"/>
      <c r="D790" s="1" t="n"/>
      <c r="E790" s="1" t="n"/>
      <c r="F790" s="1" t="n"/>
      <c r="G790" s="1" t="n"/>
      <c r="H790" s="3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6" t="n"/>
      <c r="D791" s="1" t="n"/>
      <c r="E791" s="1" t="n"/>
      <c r="F791" s="1" t="n"/>
      <c r="G791" s="1" t="n"/>
      <c r="H791" s="3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6" t="n"/>
      <c r="D792" s="1" t="n"/>
      <c r="E792" s="1" t="n"/>
      <c r="F792" s="1" t="n"/>
      <c r="G792" s="1" t="n"/>
      <c r="H792" s="3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6" t="n"/>
      <c r="D793" s="1" t="n"/>
      <c r="E793" s="1" t="n"/>
      <c r="F793" s="1" t="n"/>
      <c r="G793" s="1" t="n"/>
      <c r="H793" s="3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6" t="n"/>
      <c r="D794" s="1" t="n"/>
      <c r="E794" s="1" t="n"/>
      <c r="F794" s="1" t="n"/>
      <c r="G794" s="1" t="n"/>
      <c r="H794" s="3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6" t="n"/>
      <c r="D795" s="1" t="n"/>
      <c r="E795" s="1" t="n"/>
      <c r="F795" s="1" t="n"/>
      <c r="G795" s="1" t="n"/>
      <c r="H795" s="3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6" t="n"/>
      <c r="D796" s="1" t="n"/>
      <c r="E796" s="1" t="n"/>
      <c r="F796" s="1" t="n"/>
      <c r="G796" s="1" t="n"/>
      <c r="H796" s="3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6" t="n"/>
      <c r="D797" s="1" t="n"/>
      <c r="E797" s="1" t="n"/>
      <c r="F797" s="1" t="n"/>
      <c r="G797" s="1" t="n"/>
      <c r="H797" s="3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6" t="n"/>
      <c r="D798" s="1" t="n"/>
      <c r="E798" s="1" t="n"/>
      <c r="F798" s="1" t="n"/>
      <c r="G798" s="1" t="n"/>
      <c r="H798" s="3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6" t="n"/>
      <c r="D799" s="1" t="n"/>
      <c r="E799" s="1" t="n"/>
      <c r="F799" s="1" t="n"/>
      <c r="G799" s="1" t="n"/>
      <c r="H799" s="3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6" t="n"/>
      <c r="D800" s="1" t="n"/>
      <c r="E800" s="1" t="n"/>
      <c r="F800" s="1" t="n"/>
      <c r="G800" s="1" t="n"/>
      <c r="H800" s="3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6" t="n"/>
      <c r="D801" s="1" t="n"/>
      <c r="E801" s="1" t="n"/>
      <c r="F801" s="1" t="n"/>
      <c r="G801" s="1" t="n"/>
      <c r="H801" s="3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6" t="n"/>
      <c r="D802" s="1" t="n"/>
      <c r="E802" s="1" t="n"/>
      <c r="F802" s="1" t="n"/>
      <c r="G802" s="1" t="n"/>
      <c r="H802" s="3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6" t="n"/>
      <c r="D803" s="1" t="n"/>
      <c r="E803" s="1" t="n"/>
      <c r="F803" s="1" t="n"/>
      <c r="G803" s="1" t="n"/>
      <c r="H803" s="3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6" t="n"/>
      <c r="D804" s="1" t="n"/>
      <c r="E804" s="1" t="n"/>
      <c r="F804" s="1" t="n"/>
      <c r="G804" s="1" t="n"/>
      <c r="H804" s="3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6" t="n"/>
      <c r="D805" s="1" t="n"/>
      <c r="E805" s="1" t="n"/>
      <c r="F805" s="1" t="n"/>
      <c r="G805" s="1" t="n"/>
      <c r="H805" s="3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6" t="n"/>
      <c r="D806" s="1" t="n"/>
      <c r="E806" s="1" t="n"/>
      <c r="F806" s="1" t="n"/>
      <c r="G806" s="1" t="n"/>
      <c r="H806" s="3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6" t="n"/>
      <c r="D807" s="1" t="n"/>
      <c r="E807" s="1" t="n"/>
      <c r="F807" s="1" t="n"/>
      <c r="G807" s="1" t="n"/>
      <c r="H807" s="3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6" t="n"/>
      <c r="D808" s="1" t="n"/>
      <c r="E808" s="1" t="n"/>
      <c r="F808" s="1" t="n"/>
      <c r="G808" s="1" t="n"/>
      <c r="H808" s="3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6" t="n"/>
      <c r="D809" s="1" t="n"/>
      <c r="E809" s="1" t="n"/>
      <c r="F809" s="1" t="n"/>
      <c r="G809" s="1" t="n"/>
      <c r="H809" s="3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6" t="n"/>
      <c r="D810" s="1" t="n"/>
      <c r="E810" s="1" t="n"/>
      <c r="F810" s="1" t="n"/>
      <c r="G810" s="1" t="n"/>
      <c r="H810" s="3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6" t="n"/>
      <c r="D811" s="1" t="n"/>
      <c r="E811" s="1" t="n"/>
      <c r="F811" s="1" t="n"/>
      <c r="G811" s="1" t="n"/>
      <c r="H811" s="3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6" t="n"/>
      <c r="D812" s="1" t="n"/>
      <c r="E812" s="1" t="n"/>
      <c r="F812" s="1" t="n"/>
      <c r="G812" s="1" t="n"/>
      <c r="H812" s="3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6" t="n"/>
      <c r="D813" s="1" t="n"/>
      <c r="E813" s="1" t="n"/>
      <c r="F813" s="1" t="n"/>
      <c r="G813" s="1" t="n"/>
      <c r="H813" s="3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6" t="n"/>
      <c r="D814" s="1" t="n"/>
      <c r="E814" s="1" t="n"/>
      <c r="F814" s="1" t="n"/>
      <c r="G814" s="1" t="n"/>
      <c r="H814" s="3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6" t="n"/>
      <c r="D815" s="1" t="n"/>
      <c r="E815" s="1" t="n"/>
      <c r="F815" s="1" t="n"/>
      <c r="G815" s="1" t="n"/>
      <c r="H815" s="3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6" t="n"/>
      <c r="D816" s="1" t="n"/>
      <c r="E816" s="1" t="n"/>
      <c r="F816" s="1" t="n"/>
      <c r="G816" s="1" t="n"/>
      <c r="H816" s="3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6" t="n"/>
      <c r="D817" s="1" t="n"/>
      <c r="E817" s="1" t="n"/>
      <c r="F817" s="1" t="n"/>
      <c r="G817" s="1" t="n"/>
      <c r="H817" s="3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6" t="n"/>
      <c r="D818" s="1" t="n"/>
      <c r="E818" s="1" t="n"/>
      <c r="F818" s="1" t="n"/>
      <c r="G818" s="1" t="n"/>
      <c r="H818" s="3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6" t="n"/>
      <c r="D819" s="1" t="n"/>
      <c r="E819" s="1" t="n"/>
      <c r="F819" s="1" t="n"/>
      <c r="G819" s="1" t="n"/>
      <c r="H819" s="3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6" t="n"/>
      <c r="D820" s="1" t="n"/>
      <c r="E820" s="1" t="n"/>
      <c r="F820" s="1" t="n"/>
      <c r="G820" s="1" t="n"/>
      <c r="H820" s="3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6" t="n"/>
      <c r="D821" s="1" t="n"/>
      <c r="E821" s="1" t="n"/>
      <c r="F821" s="1" t="n"/>
      <c r="G821" s="1" t="n"/>
      <c r="H821" s="3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6" t="n"/>
      <c r="D822" s="1" t="n"/>
      <c r="E822" s="1" t="n"/>
      <c r="F822" s="1" t="n"/>
      <c r="G822" s="1" t="n"/>
      <c r="H822" s="3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6" t="n"/>
      <c r="D823" s="1" t="n"/>
      <c r="E823" s="1" t="n"/>
      <c r="F823" s="1" t="n"/>
      <c r="G823" s="1" t="n"/>
      <c r="H823" s="3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6" t="n"/>
      <c r="D824" s="1" t="n"/>
      <c r="E824" s="1" t="n"/>
      <c r="F824" s="1" t="n"/>
      <c r="G824" s="1" t="n"/>
      <c r="H824" s="3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6" t="n"/>
      <c r="D825" s="1" t="n"/>
      <c r="E825" s="1" t="n"/>
      <c r="F825" s="1" t="n"/>
      <c r="G825" s="1" t="n"/>
      <c r="H825" s="3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6" t="n"/>
      <c r="D826" s="1" t="n"/>
      <c r="E826" s="1" t="n"/>
      <c r="F826" s="1" t="n"/>
      <c r="G826" s="1" t="n"/>
      <c r="H826" s="3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6" t="n"/>
      <c r="D827" s="1" t="n"/>
      <c r="E827" s="1" t="n"/>
      <c r="F827" s="1" t="n"/>
      <c r="G827" s="1" t="n"/>
      <c r="H827" s="3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6" t="n"/>
      <c r="D828" s="1" t="n"/>
      <c r="E828" s="1" t="n"/>
      <c r="F828" s="1" t="n"/>
      <c r="G828" s="1" t="n"/>
      <c r="H828" s="3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6" t="n"/>
      <c r="D829" s="1" t="n"/>
      <c r="E829" s="1" t="n"/>
      <c r="F829" s="1" t="n"/>
      <c r="G829" s="1" t="n"/>
      <c r="H829" s="3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6" t="n"/>
      <c r="D830" s="1" t="n"/>
      <c r="E830" s="1" t="n"/>
      <c r="F830" s="1" t="n"/>
      <c r="G830" s="1" t="n"/>
      <c r="H830" s="3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6" t="n"/>
      <c r="D831" s="1" t="n"/>
      <c r="E831" s="1" t="n"/>
      <c r="F831" s="1" t="n"/>
      <c r="G831" s="1" t="n"/>
      <c r="H831" s="3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6" t="n"/>
      <c r="D832" s="1" t="n"/>
      <c r="E832" s="1" t="n"/>
      <c r="F832" s="1" t="n"/>
      <c r="G832" s="1" t="n"/>
      <c r="H832" s="3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6" t="n"/>
      <c r="D833" s="1" t="n"/>
      <c r="E833" s="1" t="n"/>
      <c r="F833" s="1" t="n"/>
      <c r="G833" s="1" t="n"/>
      <c r="H833" s="3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6" t="n"/>
      <c r="D834" s="1" t="n"/>
      <c r="E834" s="1" t="n"/>
      <c r="F834" s="1" t="n"/>
      <c r="G834" s="1" t="n"/>
      <c r="H834" s="3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6" t="n"/>
      <c r="D835" s="1" t="n"/>
      <c r="E835" s="1" t="n"/>
      <c r="F835" s="1" t="n"/>
      <c r="G835" s="1" t="n"/>
      <c r="H835" s="3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6" t="n"/>
      <c r="D836" s="1" t="n"/>
      <c r="E836" s="1" t="n"/>
      <c r="F836" s="1" t="n"/>
      <c r="G836" s="1" t="n"/>
      <c r="H836" s="3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6" t="n"/>
      <c r="D837" s="1" t="n"/>
      <c r="E837" s="1" t="n"/>
      <c r="F837" s="1" t="n"/>
      <c r="G837" s="1" t="n"/>
      <c r="H837" s="3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6" t="n"/>
      <c r="D838" s="1" t="n"/>
      <c r="E838" s="1" t="n"/>
      <c r="F838" s="1" t="n"/>
      <c r="G838" s="1" t="n"/>
      <c r="H838" s="3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6" t="n"/>
      <c r="D839" s="1" t="n"/>
      <c r="E839" s="1" t="n"/>
      <c r="F839" s="1" t="n"/>
      <c r="G839" s="1" t="n"/>
      <c r="H839" s="3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6" t="n"/>
      <c r="D840" s="1" t="n"/>
      <c r="E840" s="1" t="n"/>
      <c r="F840" s="1" t="n"/>
      <c r="G840" s="1" t="n"/>
      <c r="H840" s="3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6" t="n"/>
      <c r="D841" s="1" t="n"/>
      <c r="E841" s="1" t="n"/>
      <c r="F841" s="1" t="n"/>
      <c r="G841" s="1" t="n"/>
      <c r="H841" s="3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6" t="n"/>
      <c r="D842" s="1" t="n"/>
      <c r="E842" s="1" t="n"/>
      <c r="F842" s="1" t="n"/>
      <c r="G842" s="1" t="n"/>
      <c r="H842" s="3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6" t="n"/>
      <c r="D843" s="1" t="n"/>
      <c r="E843" s="1" t="n"/>
      <c r="F843" s="1" t="n"/>
      <c r="G843" s="1" t="n"/>
      <c r="H843" s="3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6" t="n"/>
      <c r="D844" s="1" t="n"/>
      <c r="E844" s="1" t="n"/>
      <c r="F844" s="1" t="n"/>
      <c r="G844" s="1" t="n"/>
      <c r="H844" s="3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6" t="n"/>
      <c r="D845" s="1" t="n"/>
      <c r="E845" s="1" t="n"/>
      <c r="F845" s="1" t="n"/>
      <c r="G845" s="1" t="n"/>
      <c r="H845" s="3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6" t="n"/>
      <c r="D846" s="1" t="n"/>
      <c r="E846" s="1" t="n"/>
      <c r="F846" s="1" t="n"/>
      <c r="G846" s="1" t="n"/>
      <c r="H846" s="3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6" t="n"/>
      <c r="D847" s="1" t="n"/>
      <c r="E847" s="1" t="n"/>
      <c r="F847" s="1" t="n"/>
      <c r="G847" s="1" t="n"/>
      <c r="H847" s="3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6" t="n"/>
      <c r="D848" s="1" t="n"/>
      <c r="E848" s="1" t="n"/>
      <c r="F848" s="1" t="n"/>
      <c r="G848" s="1" t="n"/>
      <c r="H848" s="3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6" t="n"/>
      <c r="D849" s="1" t="n"/>
      <c r="E849" s="1" t="n"/>
      <c r="F849" s="1" t="n"/>
      <c r="G849" s="1" t="n"/>
      <c r="H849" s="3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6" t="n"/>
      <c r="D850" s="1" t="n"/>
      <c r="E850" s="1" t="n"/>
      <c r="F850" s="1" t="n"/>
      <c r="G850" s="1" t="n"/>
      <c r="H850" s="3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6" t="n"/>
      <c r="D851" s="1" t="n"/>
      <c r="E851" s="1" t="n"/>
      <c r="F851" s="1" t="n"/>
      <c r="G851" s="1" t="n"/>
      <c r="H851" s="3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6" t="n"/>
      <c r="D852" s="1" t="n"/>
      <c r="E852" s="1" t="n"/>
      <c r="F852" s="1" t="n"/>
      <c r="G852" s="1" t="n"/>
      <c r="H852" s="3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6" t="n"/>
      <c r="D853" s="1" t="n"/>
      <c r="E853" s="1" t="n"/>
      <c r="F853" s="1" t="n"/>
      <c r="G853" s="1" t="n"/>
      <c r="H853" s="3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6" t="n"/>
      <c r="D854" s="1" t="n"/>
      <c r="E854" s="1" t="n"/>
      <c r="F854" s="1" t="n"/>
      <c r="G854" s="1" t="n"/>
      <c r="H854" s="3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6" t="n"/>
      <c r="D855" s="1" t="n"/>
      <c r="E855" s="1" t="n"/>
      <c r="F855" s="1" t="n"/>
      <c r="G855" s="1" t="n"/>
      <c r="H855" s="3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6" t="n"/>
      <c r="D856" s="1" t="n"/>
      <c r="E856" s="1" t="n"/>
      <c r="F856" s="1" t="n"/>
      <c r="G856" s="1" t="n"/>
      <c r="H856" s="3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6" t="n"/>
      <c r="D857" s="1" t="n"/>
      <c r="E857" s="1" t="n"/>
      <c r="F857" s="1" t="n"/>
      <c r="G857" s="1" t="n"/>
      <c r="H857" s="3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6" t="n"/>
      <c r="D858" s="1" t="n"/>
      <c r="E858" s="1" t="n"/>
      <c r="F858" s="1" t="n"/>
      <c r="G858" s="1" t="n"/>
      <c r="H858" s="3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6" t="n"/>
      <c r="D859" s="1" t="n"/>
      <c r="E859" s="1" t="n"/>
      <c r="F859" s="1" t="n"/>
      <c r="G859" s="1" t="n"/>
      <c r="H859" s="3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6" t="n"/>
      <c r="D860" s="1" t="n"/>
      <c r="E860" s="1" t="n"/>
      <c r="F860" s="1" t="n"/>
      <c r="G860" s="1" t="n"/>
      <c r="H860" s="3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6" t="n"/>
      <c r="D861" s="1" t="n"/>
      <c r="E861" s="1" t="n"/>
      <c r="F861" s="1" t="n"/>
      <c r="G861" s="1" t="n"/>
      <c r="H861" s="3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6" t="n"/>
      <c r="D862" s="1" t="n"/>
      <c r="E862" s="1" t="n"/>
      <c r="F862" s="1" t="n"/>
      <c r="G862" s="1" t="n"/>
      <c r="H862" s="3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6" t="n"/>
      <c r="D863" s="1" t="n"/>
      <c r="E863" s="1" t="n"/>
      <c r="F863" s="1" t="n"/>
      <c r="G863" s="1" t="n"/>
      <c r="H863" s="3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6" t="n"/>
      <c r="D864" s="1" t="n"/>
      <c r="E864" s="1" t="n"/>
      <c r="F864" s="1" t="n"/>
      <c r="G864" s="1" t="n"/>
      <c r="H864" s="3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6" t="n"/>
      <c r="D865" s="1" t="n"/>
      <c r="E865" s="1" t="n"/>
      <c r="F865" s="1" t="n"/>
      <c r="G865" s="1" t="n"/>
      <c r="H865" s="3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6" t="n"/>
      <c r="D866" s="1" t="n"/>
      <c r="E866" s="1" t="n"/>
      <c r="F866" s="1" t="n"/>
      <c r="G866" s="1" t="n"/>
      <c r="H866" s="3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6" t="n"/>
      <c r="D867" s="1" t="n"/>
      <c r="E867" s="1" t="n"/>
      <c r="F867" s="1" t="n"/>
      <c r="G867" s="1" t="n"/>
      <c r="H867" s="3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6" t="n"/>
      <c r="D868" s="1" t="n"/>
      <c r="E868" s="1" t="n"/>
      <c r="F868" s="1" t="n"/>
      <c r="G868" s="1" t="n"/>
      <c r="H868" s="3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6" t="n"/>
      <c r="D869" s="1" t="n"/>
      <c r="E869" s="1" t="n"/>
      <c r="F869" s="1" t="n"/>
      <c r="G869" s="1" t="n"/>
      <c r="H869" s="3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6" t="n"/>
      <c r="D870" s="1" t="n"/>
      <c r="E870" s="1" t="n"/>
      <c r="F870" s="1" t="n"/>
      <c r="G870" s="1" t="n"/>
      <c r="H870" s="3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6" t="n"/>
      <c r="D871" s="1" t="n"/>
      <c r="E871" s="1" t="n"/>
      <c r="F871" s="1" t="n"/>
      <c r="G871" s="1" t="n"/>
      <c r="H871" s="3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6" t="n"/>
      <c r="D872" s="1" t="n"/>
      <c r="E872" s="1" t="n"/>
      <c r="F872" s="1" t="n"/>
      <c r="G872" s="1" t="n"/>
      <c r="H872" s="3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6" t="n"/>
      <c r="D873" s="1" t="n"/>
      <c r="E873" s="1" t="n"/>
      <c r="F873" s="1" t="n"/>
      <c r="G873" s="1" t="n"/>
      <c r="H873" s="3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6" t="n"/>
      <c r="D874" s="1" t="n"/>
      <c r="E874" s="1" t="n"/>
      <c r="F874" s="1" t="n"/>
      <c r="G874" s="1" t="n"/>
      <c r="H874" s="3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6" t="n"/>
      <c r="D875" s="1" t="n"/>
      <c r="E875" s="1" t="n"/>
      <c r="F875" s="1" t="n"/>
      <c r="G875" s="1" t="n"/>
      <c r="H875" s="3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6" t="n"/>
      <c r="D876" s="1" t="n"/>
      <c r="E876" s="1" t="n"/>
      <c r="F876" s="1" t="n"/>
      <c r="G876" s="1" t="n"/>
      <c r="H876" s="3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6" t="n"/>
      <c r="D877" s="1" t="n"/>
      <c r="E877" s="1" t="n"/>
      <c r="F877" s="1" t="n"/>
      <c r="G877" s="1" t="n"/>
      <c r="H877" s="3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6" t="n"/>
      <c r="D878" s="1" t="n"/>
      <c r="E878" s="1" t="n"/>
      <c r="F878" s="1" t="n"/>
      <c r="G878" s="1" t="n"/>
      <c r="H878" s="3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6" t="n"/>
      <c r="D879" s="1" t="n"/>
      <c r="E879" s="1" t="n"/>
      <c r="F879" s="1" t="n"/>
      <c r="G879" s="1" t="n"/>
      <c r="H879" s="3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6" t="n"/>
      <c r="D880" s="1" t="n"/>
      <c r="E880" s="1" t="n"/>
      <c r="F880" s="1" t="n"/>
      <c r="G880" s="1" t="n"/>
      <c r="H880" s="3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6" t="n"/>
      <c r="D881" s="1" t="n"/>
      <c r="E881" s="1" t="n"/>
      <c r="F881" s="1" t="n"/>
      <c r="G881" s="1" t="n"/>
      <c r="H881" s="3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6" t="n"/>
      <c r="D882" s="1" t="n"/>
      <c r="E882" s="1" t="n"/>
      <c r="F882" s="1" t="n"/>
      <c r="G882" s="1" t="n"/>
      <c r="H882" s="3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6" t="n"/>
      <c r="D883" s="1" t="n"/>
      <c r="E883" s="1" t="n"/>
      <c r="F883" s="1" t="n"/>
      <c r="G883" s="1" t="n"/>
      <c r="H883" s="3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6" t="n"/>
      <c r="D884" s="1" t="n"/>
      <c r="E884" s="1" t="n"/>
      <c r="F884" s="1" t="n"/>
      <c r="G884" s="1" t="n"/>
      <c r="H884" s="3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6" t="n"/>
      <c r="D885" s="1" t="n"/>
      <c r="E885" s="1" t="n"/>
      <c r="F885" s="1" t="n"/>
      <c r="G885" s="1" t="n"/>
      <c r="H885" s="3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6" t="n"/>
      <c r="D886" s="1" t="n"/>
      <c r="E886" s="1" t="n"/>
      <c r="F886" s="1" t="n"/>
      <c r="G886" s="1" t="n"/>
      <c r="H886" s="3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6" t="n"/>
      <c r="D887" s="1" t="n"/>
      <c r="E887" s="1" t="n"/>
      <c r="F887" s="1" t="n"/>
      <c r="G887" s="1" t="n"/>
      <c r="H887" s="3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6" t="n"/>
      <c r="D888" s="1" t="n"/>
      <c r="E888" s="1" t="n"/>
      <c r="F888" s="1" t="n"/>
      <c r="G888" s="1" t="n"/>
      <c r="H888" s="3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6" t="n"/>
      <c r="D889" s="1" t="n"/>
      <c r="E889" s="1" t="n"/>
      <c r="F889" s="1" t="n"/>
      <c r="G889" s="1" t="n"/>
      <c r="H889" s="3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6" t="n"/>
      <c r="D890" s="1" t="n"/>
      <c r="E890" s="1" t="n"/>
      <c r="F890" s="1" t="n"/>
      <c r="G890" s="1" t="n"/>
      <c r="H890" s="3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6" t="n"/>
      <c r="D891" s="1" t="n"/>
      <c r="E891" s="1" t="n"/>
      <c r="F891" s="1" t="n"/>
      <c r="G891" s="1" t="n"/>
      <c r="H891" s="3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6" t="n"/>
      <c r="D892" s="1" t="n"/>
      <c r="E892" s="1" t="n"/>
      <c r="F892" s="1" t="n"/>
      <c r="G892" s="1" t="n"/>
      <c r="H892" s="3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6" t="n"/>
      <c r="D893" s="1" t="n"/>
      <c r="E893" s="1" t="n"/>
      <c r="F893" s="1" t="n"/>
      <c r="G893" s="1" t="n"/>
      <c r="H893" s="3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6" t="n"/>
      <c r="D894" s="1" t="n"/>
      <c r="E894" s="1" t="n"/>
      <c r="F894" s="1" t="n"/>
      <c r="G894" s="1" t="n"/>
      <c r="H894" s="3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6" t="n"/>
      <c r="D895" s="1" t="n"/>
      <c r="E895" s="1" t="n"/>
      <c r="F895" s="1" t="n"/>
      <c r="G895" s="1" t="n"/>
      <c r="H895" s="3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6" t="n"/>
      <c r="D896" s="1" t="n"/>
      <c r="E896" s="1" t="n"/>
      <c r="F896" s="1" t="n"/>
      <c r="G896" s="1" t="n"/>
      <c r="H896" s="3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6" t="n"/>
      <c r="D897" s="1" t="n"/>
      <c r="E897" s="1" t="n"/>
      <c r="F897" s="1" t="n"/>
      <c r="G897" s="1" t="n"/>
      <c r="H897" s="3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6" t="n"/>
      <c r="D898" s="1" t="n"/>
      <c r="E898" s="1" t="n"/>
      <c r="F898" s="1" t="n"/>
      <c r="G898" s="1" t="n"/>
      <c r="H898" s="3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6" t="n"/>
      <c r="D899" s="1" t="n"/>
      <c r="E899" s="1" t="n"/>
      <c r="F899" s="1" t="n"/>
      <c r="G899" s="1" t="n"/>
      <c r="H899" s="3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6" t="n"/>
      <c r="D900" s="1" t="n"/>
      <c r="E900" s="1" t="n"/>
      <c r="F900" s="1" t="n"/>
      <c r="G900" s="1" t="n"/>
      <c r="H900" s="3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6" t="n"/>
      <c r="D901" s="1" t="n"/>
      <c r="E901" s="1" t="n"/>
      <c r="F901" s="1" t="n"/>
      <c r="G901" s="1" t="n"/>
      <c r="H901" s="3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6" t="n"/>
      <c r="D902" s="1" t="n"/>
      <c r="E902" s="1" t="n"/>
      <c r="F902" s="1" t="n"/>
      <c r="G902" s="1" t="n"/>
      <c r="H902" s="3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6" t="n"/>
      <c r="D903" s="1" t="n"/>
      <c r="E903" s="1" t="n"/>
      <c r="F903" s="1" t="n"/>
      <c r="G903" s="1" t="n"/>
      <c r="H903" s="3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6" t="n"/>
      <c r="D904" s="1" t="n"/>
      <c r="E904" s="1" t="n"/>
      <c r="F904" s="1" t="n"/>
      <c r="G904" s="1" t="n"/>
      <c r="H904" s="3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6" t="n"/>
      <c r="D905" s="1" t="n"/>
      <c r="E905" s="1" t="n"/>
      <c r="F905" s="1" t="n"/>
      <c r="G905" s="1" t="n"/>
      <c r="H905" s="3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6" t="n"/>
      <c r="D906" s="1" t="n"/>
      <c r="E906" s="1" t="n"/>
      <c r="F906" s="1" t="n"/>
      <c r="G906" s="1" t="n"/>
      <c r="H906" s="3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6" t="n"/>
      <c r="D907" s="1" t="n"/>
      <c r="E907" s="1" t="n"/>
      <c r="F907" s="1" t="n"/>
      <c r="G907" s="1" t="n"/>
      <c r="H907" s="3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6" t="n"/>
      <c r="D908" s="1" t="n"/>
      <c r="E908" s="1" t="n"/>
      <c r="F908" s="1" t="n"/>
      <c r="G908" s="1" t="n"/>
      <c r="H908" s="3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6" t="n"/>
      <c r="D909" s="1" t="n"/>
      <c r="E909" s="1" t="n"/>
      <c r="F909" s="1" t="n"/>
      <c r="G909" s="1" t="n"/>
      <c r="H909" s="3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6" t="n"/>
      <c r="D910" s="1" t="n"/>
      <c r="E910" s="1" t="n"/>
      <c r="F910" s="1" t="n"/>
      <c r="G910" s="1" t="n"/>
      <c r="H910" s="3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6" t="n"/>
      <c r="D911" s="1" t="n"/>
      <c r="E911" s="1" t="n"/>
      <c r="F911" s="1" t="n"/>
      <c r="G911" s="1" t="n"/>
      <c r="H911" s="3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6" t="n"/>
      <c r="D912" s="1" t="n"/>
      <c r="E912" s="1" t="n"/>
      <c r="F912" s="1" t="n"/>
      <c r="G912" s="1" t="n"/>
      <c r="H912" s="3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6" t="n"/>
      <c r="D913" s="1" t="n"/>
      <c r="E913" s="1" t="n"/>
      <c r="F913" s="1" t="n"/>
      <c r="G913" s="1" t="n"/>
      <c r="H913" s="3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6" t="n"/>
      <c r="D914" s="1" t="n"/>
      <c r="E914" s="1" t="n"/>
      <c r="F914" s="1" t="n"/>
      <c r="G914" s="1" t="n"/>
      <c r="H914" s="3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6" t="n"/>
      <c r="D915" s="1" t="n"/>
      <c r="E915" s="1" t="n"/>
      <c r="F915" s="1" t="n"/>
      <c r="G915" s="1" t="n"/>
      <c r="H915" s="3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6" t="n"/>
      <c r="D916" s="1" t="n"/>
      <c r="E916" s="1" t="n"/>
      <c r="F916" s="1" t="n"/>
      <c r="G916" s="1" t="n"/>
      <c r="H916" s="3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6" t="n"/>
      <c r="D917" s="1" t="n"/>
      <c r="E917" s="1" t="n"/>
      <c r="F917" s="1" t="n"/>
      <c r="G917" s="1" t="n"/>
      <c r="H917" s="3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6" t="n"/>
      <c r="D918" s="1" t="n"/>
      <c r="E918" s="1" t="n"/>
      <c r="F918" s="1" t="n"/>
      <c r="G918" s="1" t="n"/>
      <c r="H918" s="3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6" t="n"/>
      <c r="D919" s="1" t="n"/>
      <c r="E919" s="1" t="n"/>
      <c r="F919" s="1" t="n"/>
      <c r="G919" s="1" t="n"/>
      <c r="H919" s="3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6" t="n"/>
      <c r="D920" s="1" t="n"/>
      <c r="E920" s="1" t="n"/>
      <c r="F920" s="1" t="n"/>
      <c r="G920" s="1" t="n"/>
      <c r="H920" s="3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6" t="n"/>
      <c r="D921" s="1" t="n"/>
      <c r="E921" s="1" t="n"/>
      <c r="F921" s="1" t="n"/>
      <c r="G921" s="1" t="n"/>
      <c r="H921" s="3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6" t="n"/>
      <c r="D922" s="1" t="n"/>
      <c r="E922" s="1" t="n"/>
      <c r="F922" s="1" t="n"/>
      <c r="G922" s="1" t="n"/>
      <c r="H922" s="3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6" t="n"/>
      <c r="D923" s="1" t="n"/>
      <c r="E923" s="1" t="n"/>
      <c r="F923" s="1" t="n"/>
      <c r="G923" s="1" t="n"/>
      <c r="H923" s="3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6" t="n"/>
      <c r="D924" s="1" t="n"/>
      <c r="E924" s="1" t="n"/>
      <c r="F924" s="1" t="n"/>
      <c r="G924" s="1" t="n"/>
      <c r="H924" s="3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6" t="n"/>
      <c r="D925" s="1" t="n"/>
      <c r="E925" s="1" t="n"/>
      <c r="F925" s="1" t="n"/>
      <c r="G925" s="1" t="n"/>
      <c r="H925" s="3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6" t="n"/>
      <c r="D926" s="1" t="n"/>
      <c r="E926" s="1" t="n"/>
      <c r="F926" s="1" t="n"/>
      <c r="G926" s="1" t="n"/>
      <c r="H926" s="3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6" t="n"/>
      <c r="D927" s="1" t="n"/>
      <c r="E927" s="1" t="n"/>
      <c r="F927" s="1" t="n"/>
      <c r="G927" s="1" t="n"/>
      <c r="H927" s="3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6" t="n"/>
      <c r="D928" s="1" t="n"/>
      <c r="E928" s="1" t="n"/>
      <c r="F928" s="1" t="n"/>
      <c r="G928" s="1" t="n"/>
      <c r="H928" s="3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6" t="n"/>
      <c r="D929" s="1" t="n"/>
      <c r="E929" s="1" t="n"/>
      <c r="F929" s="1" t="n"/>
      <c r="G929" s="1" t="n"/>
      <c r="H929" s="3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6" t="n"/>
      <c r="D930" s="1" t="n"/>
      <c r="E930" s="1" t="n"/>
      <c r="F930" s="1" t="n"/>
      <c r="G930" s="1" t="n"/>
      <c r="H930" s="3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6" t="n"/>
      <c r="D931" s="1" t="n"/>
      <c r="E931" s="1" t="n"/>
      <c r="F931" s="1" t="n"/>
      <c r="G931" s="1" t="n"/>
      <c r="H931" s="3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6" t="n"/>
      <c r="D932" s="1" t="n"/>
      <c r="E932" s="1" t="n"/>
      <c r="F932" s="1" t="n"/>
      <c r="G932" s="1" t="n"/>
      <c r="H932" s="3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6" t="n"/>
      <c r="D933" s="1" t="n"/>
      <c r="E933" s="1" t="n"/>
      <c r="F933" s="1" t="n"/>
      <c r="G933" s="1" t="n"/>
      <c r="H933" s="3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6" t="n"/>
      <c r="D934" s="1" t="n"/>
      <c r="E934" s="1" t="n"/>
      <c r="F934" s="1" t="n"/>
      <c r="G934" s="1" t="n"/>
      <c r="H934" s="3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6" t="n"/>
      <c r="D935" s="1" t="n"/>
      <c r="E935" s="1" t="n"/>
      <c r="F935" s="1" t="n"/>
      <c r="G935" s="1" t="n"/>
      <c r="H935" s="3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6" t="n"/>
      <c r="D936" s="1" t="n"/>
      <c r="E936" s="1" t="n"/>
      <c r="F936" s="1" t="n"/>
      <c r="G936" s="1" t="n"/>
      <c r="H936" s="3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6" t="n"/>
      <c r="D937" s="1" t="n"/>
      <c r="E937" s="1" t="n"/>
      <c r="F937" s="1" t="n"/>
      <c r="G937" s="1" t="n"/>
      <c r="H937" s="3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6" t="n"/>
      <c r="D938" s="1" t="n"/>
      <c r="E938" s="1" t="n"/>
      <c r="F938" s="1" t="n"/>
      <c r="G938" s="1" t="n"/>
      <c r="H938" s="3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6" t="n"/>
      <c r="D939" s="1" t="n"/>
      <c r="E939" s="1" t="n"/>
      <c r="F939" s="1" t="n"/>
      <c r="G939" s="1" t="n"/>
      <c r="H939" s="3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6" t="n"/>
      <c r="D940" s="1" t="n"/>
      <c r="E940" s="1" t="n"/>
      <c r="F940" s="1" t="n"/>
      <c r="G940" s="1" t="n"/>
      <c r="H940" s="3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6" t="n"/>
      <c r="D941" s="1" t="n"/>
      <c r="E941" s="1" t="n"/>
      <c r="F941" s="1" t="n"/>
      <c r="G941" s="1" t="n"/>
      <c r="H941" s="3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6" t="n"/>
      <c r="D942" s="1" t="n"/>
      <c r="E942" s="1" t="n"/>
      <c r="F942" s="1" t="n"/>
      <c r="G942" s="1" t="n"/>
      <c r="H942" s="3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6" t="n"/>
      <c r="D943" s="1" t="n"/>
      <c r="E943" s="1" t="n"/>
      <c r="F943" s="1" t="n"/>
      <c r="G943" s="1" t="n"/>
      <c r="H943" s="3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6" t="n"/>
      <c r="D944" s="1" t="n"/>
      <c r="E944" s="1" t="n"/>
      <c r="F944" s="1" t="n"/>
      <c r="G944" s="1" t="n"/>
      <c r="H944" s="3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6" t="n"/>
      <c r="D945" s="1" t="n"/>
      <c r="E945" s="1" t="n"/>
      <c r="F945" s="1" t="n"/>
      <c r="G945" s="1" t="n"/>
      <c r="H945" s="3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6" t="n"/>
      <c r="D946" s="1" t="n"/>
      <c r="E946" s="1" t="n"/>
      <c r="F946" s="1" t="n"/>
      <c r="G946" s="1" t="n"/>
      <c r="H946" s="3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6" t="n"/>
      <c r="D947" s="1" t="n"/>
      <c r="E947" s="1" t="n"/>
      <c r="F947" s="1" t="n"/>
      <c r="G947" s="1" t="n"/>
      <c r="H947" s="3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6" t="n"/>
      <c r="D948" s="1" t="n"/>
      <c r="E948" s="1" t="n"/>
      <c r="F948" s="1" t="n"/>
      <c r="G948" s="1" t="n"/>
      <c r="H948" s="3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6" t="n"/>
      <c r="D949" s="1" t="n"/>
      <c r="E949" s="1" t="n"/>
      <c r="F949" s="1" t="n"/>
      <c r="G949" s="1" t="n"/>
      <c r="H949" s="3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6" t="n"/>
      <c r="D950" s="1" t="n"/>
      <c r="E950" s="1" t="n"/>
      <c r="F950" s="1" t="n"/>
      <c r="G950" s="1" t="n"/>
      <c r="H950" s="3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6" t="n"/>
      <c r="D951" s="1" t="n"/>
      <c r="E951" s="1" t="n"/>
      <c r="F951" s="1" t="n"/>
      <c r="G951" s="1" t="n"/>
      <c r="H951" s="3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6" t="n"/>
      <c r="D952" s="1" t="n"/>
      <c r="E952" s="1" t="n"/>
      <c r="F952" s="1" t="n"/>
      <c r="G952" s="1" t="n"/>
      <c r="H952" s="3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6" t="n"/>
      <c r="D953" s="1" t="n"/>
      <c r="E953" s="1" t="n"/>
      <c r="F953" s="1" t="n"/>
      <c r="G953" s="1" t="n"/>
      <c r="H953" s="3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6" t="n"/>
      <c r="D954" s="1" t="n"/>
      <c r="E954" s="1" t="n"/>
      <c r="F954" s="1" t="n"/>
      <c r="G954" s="1" t="n"/>
      <c r="H954" s="3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6" t="n"/>
      <c r="D955" s="1" t="n"/>
      <c r="E955" s="1" t="n"/>
      <c r="F955" s="1" t="n"/>
      <c r="G955" s="1" t="n"/>
      <c r="H955" s="3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6" t="n"/>
      <c r="D956" s="1" t="n"/>
      <c r="E956" s="1" t="n"/>
      <c r="F956" s="1" t="n"/>
      <c r="G956" s="1" t="n"/>
      <c r="H956" s="3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6" t="n"/>
      <c r="D957" s="1" t="n"/>
      <c r="E957" s="1" t="n"/>
      <c r="F957" s="1" t="n"/>
      <c r="G957" s="1" t="n"/>
      <c r="H957" s="3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6" t="n"/>
      <c r="D958" s="1" t="n"/>
      <c r="E958" s="1" t="n"/>
      <c r="F958" s="1" t="n"/>
      <c r="G958" s="1" t="n"/>
      <c r="H958" s="3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6" t="n"/>
      <c r="D959" s="1" t="n"/>
      <c r="E959" s="1" t="n"/>
      <c r="F959" s="1" t="n"/>
      <c r="G959" s="1" t="n"/>
      <c r="H959" s="3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6" t="n"/>
      <c r="D960" s="1" t="n"/>
      <c r="E960" s="1" t="n"/>
      <c r="F960" s="1" t="n"/>
      <c r="G960" s="1" t="n"/>
      <c r="H960" s="3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6" t="n"/>
      <c r="D961" s="1" t="n"/>
      <c r="E961" s="1" t="n"/>
      <c r="F961" s="1" t="n"/>
      <c r="G961" s="1" t="n"/>
      <c r="H961" s="3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6" t="n"/>
      <c r="D962" s="1" t="n"/>
      <c r="E962" s="1" t="n"/>
      <c r="F962" s="1" t="n"/>
      <c r="G962" s="1" t="n"/>
      <c r="H962" s="3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6" t="n"/>
      <c r="D963" s="1" t="n"/>
      <c r="E963" s="1" t="n"/>
      <c r="F963" s="1" t="n"/>
      <c r="G963" s="1" t="n"/>
      <c r="H963" s="3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6" t="n"/>
      <c r="D964" s="1" t="n"/>
      <c r="E964" s="1" t="n"/>
      <c r="F964" s="1" t="n"/>
      <c r="G964" s="1" t="n"/>
      <c r="H964" s="3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6" t="n"/>
      <c r="D965" s="1" t="n"/>
      <c r="E965" s="1" t="n"/>
      <c r="F965" s="1" t="n"/>
      <c r="G965" s="1" t="n"/>
      <c r="H965" s="3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6" t="n"/>
      <c r="D966" s="1" t="n"/>
      <c r="E966" s="1" t="n"/>
      <c r="F966" s="1" t="n"/>
      <c r="G966" s="1" t="n"/>
      <c r="H966" s="3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6" t="n"/>
      <c r="D967" s="1" t="n"/>
      <c r="E967" s="1" t="n"/>
      <c r="F967" s="1" t="n"/>
      <c r="G967" s="1" t="n"/>
      <c r="H967" s="3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6" t="n"/>
      <c r="D968" s="1" t="n"/>
      <c r="E968" s="1" t="n"/>
      <c r="F968" s="1" t="n"/>
      <c r="G968" s="1" t="n"/>
      <c r="H968" s="3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6" t="n"/>
      <c r="D969" s="1" t="n"/>
      <c r="E969" s="1" t="n"/>
      <c r="F969" s="1" t="n"/>
      <c r="G969" s="1" t="n"/>
      <c r="H969" s="3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6" t="n"/>
      <c r="D970" s="1" t="n"/>
      <c r="E970" s="1" t="n"/>
      <c r="F970" s="1" t="n"/>
      <c r="G970" s="1" t="n"/>
      <c r="H970" s="3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6" t="n"/>
      <c r="D971" s="1" t="n"/>
      <c r="E971" s="1" t="n"/>
      <c r="F971" s="1" t="n"/>
      <c r="G971" s="1" t="n"/>
      <c r="H971" s="3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6" t="n"/>
      <c r="D972" s="1" t="n"/>
      <c r="E972" s="1" t="n"/>
      <c r="F972" s="1" t="n"/>
      <c r="G972" s="1" t="n"/>
      <c r="H972" s="3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6" t="n"/>
      <c r="D973" s="1" t="n"/>
      <c r="E973" s="1" t="n"/>
      <c r="F973" s="1" t="n"/>
      <c r="G973" s="1" t="n"/>
      <c r="H973" s="3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6" t="n"/>
      <c r="D974" s="1" t="n"/>
      <c r="E974" s="1" t="n"/>
      <c r="F974" s="1" t="n"/>
      <c r="G974" s="1" t="n"/>
      <c r="H974" s="3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6" t="n"/>
      <c r="D975" s="1" t="n"/>
      <c r="E975" s="1" t="n"/>
      <c r="F975" s="1" t="n"/>
      <c r="G975" s="1" t="n"/>
      <c r="H975" s="3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6" t="n"/>
      <c r="D976" s="1" t="n"/>
      <c r="E976" s="1" t="n"/>
      <c r="F976" s="1" t="n"/>
      <c r="G976" s="1" t="n"/>
      <c r="H976" s="3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6" t="n"/>
      <c r="D977" s="1" t="n"/>
      <c r="E977" s="1" t="n"/>
      <c r="F977" s="1" t="n"/>
      <c r="G977" s="1" t="n"/>
      <c r="H977" s="3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6" t="n"/>
      <c r="D978" s="1" t="n"/>
      <c r="E978" s="1" t="n"/>
      <c r="F978" s="1" t="n"/>
      <c r="G978" s="1" t="n"/>
      <c r="H978" s="3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6" t="n"/>
      <c r="D979" s="1" t="n"/>
      <c r="E979" s="1" t="n"/>
      <c r="F979" s="1" t="n"/>
      <c r="G979" s="1" t="n"/>
      <c r="H979" s="3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6" t="n"/>
      <c r="D980" s="1" t="n"/>
      <c r="E980" s="1" t="n"/>
      <c r="F980" s="1" t="n"/>
      <c r="G980" s="1" t="n"/>
      <c r="H980" s="3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6" t="n"/>
      <c r="D981" s="1" t="n"/>
      <c r="E981" s="1" t="n"/>
      <c r="F981" s="1" t="n"/>
      <c r="G981" s="1" t="n"/>
      <c r="H981" s="3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6" t="n"/>
      <c r="D982" s="1" t="n"/>
      <c r="E982" s="1" t="n"/>
      <c r="F982" s="1" t="n"/>
      <c r="G982" s="1" t="n"/>
      <c r="H982" s="3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6" t="n"/>
      <c r="D983" s="1" t="n"/>
      <c r="E983" s="1" t="n"/>
      <c r="F983" s="1" t="n"/>
      <c r="G983" s="1" t="n"/>
      <c r="H983" s="3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6" t="n"/>
      <c r="D984" s="1" t="n"/>
      <c r="E984" s="1" t="n"/>
      <c r="F984" s="1" t="n"/>
      <c r="G984" s="1" t="n"/>
      <c r="H984" s="3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6" t="n"/>
      <c r="D985" s="1" t="n"/>
      <c r="E985" s="1" t="n"/>
      <c r="F985" s="1" t="n"/>
      <c r="G985" s="1" t="n"/>
      <c r="H985" s="3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6" t="n"/>
      <c r="D986" s="1" t="n"/>
      <c r="E986" s="1" t="n"/>
      <c r="F986" s="1" t="n"/>
      <c r="G986" s="1" t="n"/>
      <c r="H986" s="3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6" t="n"/>
      <c r="D987" s="1" t="n"/>
      <c r="E987" s="1" t="n"/>
      <c r="F987" s="1" t="n"/>
      <c r="G987" s="1" t="n"/>
      <c r="H987" s="3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6" t="n"/>
      <c r="D988" s="1" t="n"/>
      <c r="E988" s="1" t="n"/>
      <c r="F988" s="1" t="n"/>
      <c r="G988" s="1" t="n"/>
      <c r="H988" s="3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6" t="n"/>
      <c r="D989" s="1" t="n"/>
      <c r="E989" s="1" t="n"/>
      <c r="F989" s="1" t="n"/>
      <c r="G989" s="1" t="n"/>
      <c r="H989" s="3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6" t="n"/>
      <c r="D990" s="1" t="n"/>
      <c r="E990" s="1" t="n"/>
      <c r="F990" s="1" t="n"/>
      <c r="G990" s="1" t="n"/>
      <c r="H990" s="3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6" t="n"/>
      <c r="D991" s="1" t="n"/>
      <c r="E991" s="1" t="n"/>
      <c r="F991" s="1" t="n"/>
      <c r="G991" s="1" t="n"/>
      <c r="H991" s="3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6" t="n"/>
      <c r="D992" s="1" t="n"/>
      <c r="E992" s="1" t="n"/>
      <c r="F992" s="1" t="n"/>
      <c r="G992" s="1" t="n"/>
      <c r="H992" s="3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6" t="n"/>
      <c r="D993" s="1" t="n"/>
      <c r="E993" s="1" t="n"/>
      <c r="F993" s="1" t="n"/>
      <c r="G993" s="1" t="n"/>
      <c r="H993" s="3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6" t="n"/>
      <c r="D994" s="1" t="n"/>
      <c r="E994" s="1" t="n"/>
      <c r="F994" s="1" t="n"/>
      <c r="G994" s="1" t="n"/>
      <c r="H994" s="3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6" t="n"/>
      <c r="D995" s="1" t="n"/>
      <c r="E995" s="1" t="n"/>
      <c r="F995" s="1" t="n"/>
      <c r="G995" s="1" t="n"/>
      <c r="H995" s="3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6" t="n"/>
      <c r="D996" s="1" t="n"/>
      <c r="E996" s="1" t="n"/>
      <c r="F996" s="1" t="n"/>
      <c r="G996" s="1" t="n"/>
      <c r="H996" s="3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6" t="n"/>
      <c r="D997" s="1" t="n"/>
      <c r="E997" s="1" t="n"/>
      <c r="F997" s="1" t="n"/>
      <c r="G997" s="1" t="n"/>
      <c r="H997" s="3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6" t="n"/>
      <c r="D998" s="1" t="n"/>
      <c r="E998" s="1" t="n"/>
      <c r="F998" s="1" t="n"/>
      <c r="G998" s="1" t="n"/>
      <c r="H998" s="3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6" t="n"/>
      <c r="D999" s="1" t="n"/>
      <c r="E999" s="1" t="n"/>
      <c r="F999" s="1" t="n"/>
      <c r="G999" s="1" t="n"/>
      <c r="H999" s="3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6" t="n"/>
      <c r="D1000" s="1" t="n"/>
      <c r="E1000" s="1" t="n"/>
      <c r="F1000" s="1" t="n"/>
      <c r="G1000" s="1" t="n"/>
      <c r="H1000" s="3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s="1" t="n"/>
      <c r="B1001" s="1" t="n"/>
      <c r="C1001" s="16" t="n"/>
      <c r="D1001" s="1" t="n"/>
      <c r="E1001" s="1" t="n"/>
      <c r="F1001" s="1" t="n"/>
      <c r="G1001" s="1" t="n"/>
      <c r="H1001" s="3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>
      <c r="A1002" s="1" t="n"/>
      <c r="B1002" s="1" t="n"/>
      <c r="C1002" s="16" t="n"/>
      <c r="D1002" s="1" t="n"/>
      <c r="E1002" s="1" t="n"/>
      <c r="F1002" s="1" t="n"/>
      <c r="G1002" s="1" t="n"/>
      <c r="H1002" s="3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  <row r="1003">
      <c r="A1003" s="1" t="n"/>
      <c r="B1003" s="1" t="n"/>
      <c r="C1003" s="16" t="n"/>
      <c r="D1003" s="1" t="n"/>
      <c r="E1003" s="1" t="n"/>
      <c r="F1003" s="1" t="n"/>
      <c r="G1003" s="1" t="n"/>
      <c r="H1003" s="3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</row>
    <row r="1004">
      <c r="A1004" s="1" t="n"/>
      <c r="B1004" s="1" t="n"/>
      <c r="C1004" s="16" t="n"/>
      <c r="D1004" s="1" t="n"/>
      <c r="E1004" s="1" t="n"/>
      <c r="F1004" s="1" t="n"/>
      <c r="G1004" s="1" t="n"/>
      <c r="H1004" s="3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</row>
    <row r="1005">
      <c r="A1005" s="1" t="n"/>
      <c r="B1005" s="1" t="n"/>
      <c r="C1005" s="16" t="n"/>
      <c r="D1005" s="1" t="n"/>
      <c r="E1005" s="1" t="n"/>
      <c r="F1005" s="1" t="n"/>
      <c r="G1005" s="1" t="n"/>
      <c r="H1005" s="3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</row>
  </sheetData>
  <autoFilter ref="A6:J43"/>
  <mergeCells count="2">
    <mergeCell ref="A1:G1"/>
    <mergeCell ref="B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30" customWidth="1" min="3" max="3"/>
  </cols>
  <sheetData>
    <row r="1">
      <c r="A1" s="48" t="inlineStr">
        <is>
          <t>FR ID</t>
        </is>
      </c>
      <c r="B1" s="48" t="inlineStr">
        <is>
          <t>Requirement (BRD §7)</t>
        </is>
      </c>
      <c r="C1" s="48" t="inlineStr">
        <is>
          <t>User Story ID(s)</t>
        </is>
      </c>
    </row>
    <row r="2">
      <c r="A2" s="49" t="inlineStr">
        <is>
          <t>FR-001</t>
        </is>
      </c>
      <c r="B2" s="49" t="inlineStr">
        <is>
          <t>Join Waitlist on the Landing Page</t>
        </is>
      </c>
      <c r="C2" s="49" t="inlineStr">
        <is>
          <t>US-ON01, US-AI01</t>
        </is>
      </c>
    </row>
    <row r="3">
      <c r="A3" s="49" t="inlineStr">
        <is>
          <t>FR-002</t>
        </is>
      </c>
      <c r="B3" s="49" t="inlineStr">
        <is>
          <t>Register Account (Company / Individual)</t>
        </is>
      </c>
      <c r="C3" s="49" t="inlineStr">
        <is>
          <t>US-ON02, US-AD05</t>
        </is>
      </c>
    </row>
    <row r="4">
      <c r="A4" s="49" t="inlineStr">
        <is>
          <t>FR-003</t>
        </is>
      </c>
      <c r="B4" s="49" t="inlineStr">
        <is>
          <t>Submit KYC</t>
        </is>
      </c>
      <c r="C4" s="49" t="inlineStr">
        <is>
          <t>US-ON03, US-ON05</t>
        </is>
      </c>
    </row>
    <row r="5">
      <c r="A5" s="49" t="inlineStr">
        <is>
          <t>FR-004</t>
        </is>
      </c>
      <c r="B5" s="49" t="inlineStr">
        <is>
          <t>Admin Review &amp; Approve/Reject KYC</t>
        </is>
      </c>
      <c r="C5" s="49" t="inlineStr">
        <is>
          <t>US-AD01</t>
        </is>
      </c>
    </row>
    <row r="6">
      <c r="A6" s="49" t="inlineStr">
        <is>
          <t>FR-005</t>
        </is>
      </c>
      <c r="B6" s="49" t="inlineStr">
        <is>
          <t>Classify Business into Class 0–7 by headcount</t>
        </is>
      </c>
      <c r="C6" s="49" t="inlineStr">
        <is>
          <t>US-ON04, US-DR03</t>
        </is>
      </c>
    </row>
    <row r="7">
      <c r="A7" s="49" t="inlineStr">
        <is>
          <t>FR-006</t>
        </is>
      </c>
      <c r="B7" s="49" t="inlineStr">
        <is>
          <t>Log In / user authentication</t>
        </is>
      </c>
      <c r="C7" s="49" t="inlineStr">
        <is>
          <t>US-ON05</t>
        </is>
      </c>
    </row>
    <row r="8">
      <c r="A8" s="49" t="inlineStr">
        <is>
          <t>FR-007</t>
        </is>
      </c>
      <c r="B8" s="49" t="inlineStr">
        <is>
          <t>Create Custodial Wallet on-demand (via Circle)</t>
        </is>
      </c>
      <c r="C8" s="49" t="inlineStr">
        <is>
          <t>US-AW01</t>
        </is>
      </c>
    </row>
    <row r="9">
      <c r="A9" s="49" t="inlineStr">
        <is>
          <t>FR-008</t>
        </is>
      </c>
      <c r="B9" s="49" t="inlineStr">
        <is>
          <t>View Wallet</t>
        </is>
      </c>
      <c r="C9" s="49" t="inlineStr">
        <is>
          <t>US-AW02</t>
        </is>
      </c>
    </row>
    <row r="10">
      <c r="A10" s="49" t="inlineStr">
        <is>
          <t>FR-009</t>
        </is>
      </c>
      <c r="B10" s="49" t="inlineStr">
        <is>
          <t>View Owned NFTs</t>
        </is>
      </c>
      <c r="C10" s="49" t="inlineStr">
        <is>
          <t>US-AW03</t>
        </is>
      </c>
    </row>
    <row r="11">
      <c r="A11" s="49" t="inlineStr">
        <is>
          <t>FR-010</t>
        </is>
      </c>
      <c r="B11" s="49" t="inlineStr">
        <is>
          <t>Transfer a Distinction NFT to the member's own non-custodial wallet (a linked wallet, or a new own wallet verified by connect &amp; sign)</t>
        </is>
      </c>
      <c r="C11" s="49" t="inlineStr">
        <is>
          <t>US-TN06, US-TN07</t>
        </is>
      </c>
    </row>
    <row r="12">
      <c r="A12" s="49" t="inlineStr">
        <is>
          <t>FR-011</t>
        </is>
      </c>
      <c r="B12" s="49" t="inlineStr">
        <is>
          <t>Browse Titles and view pricing by Class (Philanthropist / Investor / Bridge)</t>
        </is>
      </c>
      <c r="C12" s="49" t="inlineStr">
        <is>
          <t>US-TN01, US-PT01</t>
        </is>
      </c>
    </row>
    <row r="13">
      <c r="A13" s="49" t="inlineStr">
        <is>
          <t>FR-012</t>
        </is>
      </c>
      <c r="B13" s="49" t="inlineStr">
        <is>
          <t>Purchase / Gift Title (buyer may differ from recipient)</t>
        </is>
      </c>
      <c r="C13" s="49" t="inlineStr">
        <is>
          <t>US-TN02, US-TN03, US-TN04, US-TN10</t>
        </is>
      </c>
    </row>
    <row r="14">
      <c r="A14" s="49" t="inlineStr">
        <is>
          <t>FR-013</t>
        </is>
      </c>
      <c r="B14" s="49" t="inlineStr">
        <is>
          <t>Mint Distinction NFT on purchase (system, via Blockchain)</t>
        </is>
      </c>
      <c r="C14" s="49" t="inlineStr">
        <is>
          <t>US-TN02, US-TN05, US-TN10</t>
        </is>
      </c>
    </row>
    <row r="15">
      <c r="A15" s="49" t="inlineStr">
        <is>
          <t>FR-016</t>
        </is>
      </c>
      <c r="B15" s="49" t="inlineStr">
        <is>
          <t>Calculate Price by Class</t>
        </is>
      </c>
      <c r="C15" s="49" t="inlineStr">
        <is>
          <t>US-PT02</t>
        </is>
      </c>
    </row>
    <row r="16">
      <c r="A16" s="49" t="inlineStr">
        <is>
          <t>FR-017</t>
        </is>
      </c>
      <c r="B16" s="49" t="inlineStr">
        <is>
          <t>Apply 20% Discount from Year 2 (time + point-balance eligibility)</t>
        </is>
      </c>
      <c r="C16" s="49" t="inlineStr">
        <is>
          <t>US-PT03</t>
        </is>
      </c>
    </row>
    <row r="17">
      <c r="A17" s="49" t="inlineStr">
        <is>
          <t>FR-018</t>
        </is>
      </c>
      <c r="B17" s="49" t="inlineStr">
        <is>
          <t>Distribute points 10% buyer / 10% recipient / 10% system on paid transactions</t>
        </is>
      </c>
      <c r="C17" s="49" t="inlineStr">
        <is>
          <t>US-PT04</t>
        </is>
      </c>
    </row>
    <row r="18">
      <c r="A18" s="49" t="inlineStr">
        <is>
          <t>FR-019</t>
        </is>
      </c>
      <c r="B18" s="49" t="inlineStr">
        <is>
          <t>View Point Balance</t>
        </is>
      </c>
      <c r="C18" s="49" t="inlineStr">
        <is>
          <t>US-PT05</t>
        </is>
      </c>
    </row>
    <row r="19">
      <c r="A19" s="49" t="inlineStr">
        <is>
          <t>FR-020</t>
        </is>
      </c>
      <c r="B19" s="49" t="inlineStr">
        <is>
          <t>Deduct / Use Points</t>
        </is>
      </c>
      <c r="C19" s="49" t="inlineStr">
        <is>
          <t>US-PT06</t>
        </is>
      </c>
    </row>
    <row r="20">
      <c r="A20" s="49" t="inlineStr">
        <is>
          <t>FR-021</t>
        </is>
      </c>
      <c r="B20" s="49" t="inlineStr">
        <is>
          <t>Browse Public Directory</t>
        </is>
      </c>
      <c r="C20" s="49" t="inlineStr">
        <is>
          <t>US-DR01</t>
        </is>
      </c>
    </row>
    <row r="21">
      <c r="A21" s="49" t="inlineStr">
        <is>
          <t>FR-022</t>
        </is>
      </c>
      <c r="B21" s="49" t="inlineStr">
        <is>
          <t>View Company / Profile</t>
        </is>
      </c>
      <c r="C21" s="49" t="inlineStr">
        <is>
          <t>US-DR02</t>
        </is>
      </c>
    </row>
    <row r="22">
      <c r="A22" s="49" t="inlineStr">
        <is>
          <t>FR-023</t>
        </is>
      </c>
      <c r="B22" s="49" t="inlineStr">
        <is>
          <t>View Profile NFTs</t>
        </is>
      </c>
      <c r="C22" s="49" t="inlineStr">
        <is>
          <t>US-DR02</t>
        </is>
      </c>
    </row>
    <row r="23">
      <c r="A23" s="49" t="inlineStr">
        <is>
          <t>FR-024</t>
        </is>
      </c>
      <c r="B23" s="49" t="inlineStr">
        <is>
          <t>Verify NFT On-chain (Valid / Revoked / Invalid)</t>
        </is>
      </c>
      <c r="C23" s="49" t="inlineStr">
        <is>
          <t>US-DR03</t>
        </is>
      </c>
    </row>
    <row r="24">
      <c r="A24" s="49" t="inlineStr">
        <is>
          <t>FR-025</t>
        </is>
      </c>
      <c r="B24" s="49" t="inlineStr">
        <is>
          <t>Calculate Ranking by total NFTs owned</t>
        </is>
      </c>
      <c r="C24" s="49" t="inlineStr">
        <is>
          <t>US-DR04</t>
        </is>
      </c>
    </row>
    <row r="25">
      <c r="A25" s="49" t="inlineStr">
        <is>
          <t>FR-026</t>
        </is>
      </c>
      <c r="B25" s="49" t="inlineStr">
        <is>
          <t>Grant Award → Award NFT (soulbound)</t>
        </is>
      </c>
      <c r="C25" s="49" t="inlineStr">
        <is>
          <t>US-AD02</t>
        </is>
      </c>
    </row>
    <row r="26">
      <c r="A26" s="49" t="inlineStr">
        <is>
          <t>FR-027</t>
        </is>
      </c>
      <c r="B26" s="49" t="inlineStr">
        <is>
          <t>Revoke NFT (Admin only)</t>
        </is>
      </c>
      <c r="C26" s="49" t="inlineStr">
        <is>
          <t>US-AD03</t>
        </is>
      </c>
    </row>
    <row r="27">
      <c r="A27" s="49" t="inlineStr">
        <is>
          <t>FR-028</t>
        </is>
      </c>
      <c r="B27" s="49" t="inlineStr">
        <is>
          <t>Manually Adjust Points (Admin, exception handling)</t>
        </is>
      </c>
      <c r="C27" s="49" t="inlineStr">
        <is>
          <t>US-AD04</t>
        </is>
      </c>
    </row>
    <row r="28">
      <c r="A28" s="49" t="inlineStr">
        <is>
          <t>FR-029</t>
        </is>
      </c>
      <c r="B28" s="49" t="inlineStr">
        <is>
          <t>View Audit Logs</t>
        </is>
      </c>
      <c r="C28" s="49" t="inlineStr">
        <is>
          <t>US-AD05</t>
        </is>
      </c>
    </row>
    <row r="29">
      <c r="A29" s="49" t="inlineStr">
        <is>
          <t>FR-030</t>
        </is>
      </c>
      <c r="B29" s="49" t="inlineStr">
        <is>
          <t>Interact with AI Assistant (Q&amp;A, NFT lookup, guidance, recommendations)</t>
        </is>
      </c>
      <c r="C29" s="49" t="inlineStr">
        <is>
          <t>US-AI01</t>
        </is>
      </c>
    </row>
    <row r="30">
      <c r="A30" s="49" t="inlineStr">
        <is>
          <t>FR-031</t>
        </is>
      </c>
      <c r="B30" s="49" t="inlineStr">
        <is>
          <t>Link Non-custodial Wallet on the Member Dashboard (connect wallet + sign message; one wallet per account)</t>
        </is>
      </c>
      <c r="C30" s="49" t="inlineStr">
        <is>
          <t>US-AW04, US-TN06</t>
        </is>
      </c>
    </row>
    <row r="31">
      <c r="A31" s="49" t="inlineStr">
        <is>
          <t>FR-032</t>
        </is>
      </c>
      <c r="B31" s="49" t="inlineStr">
        <is>
          <t>Unlink Wallet (warning; NFTs in that wallet are removed from ranking)</t>
        </is>
      </c>
      <c r="C31" s="49" t="inlineStr">
        <is>
          <t>US-AW05</t>
        </is>
      </c>
    </row>
    <row r="32">
      <c r="A32" s="49" t="inlineStr">
        <is>
          <t>FR-033</t>
        </is>
      </c>
      <c r="B32" s="49" t="inlineStr">
        <is>
          <t>Update NFT custody status from Custodial to Self-custody (verified) on on-chain confirmation</t>
        </is>
      </c>
      <c r="C32" s="49" t="inlineStr">
        <is>
          <t>US-TN08</t>
        </is>
      </c>
    </row>
    <row r="33">
      <c r="A33" s="49" t="inlineStr">
        <is>
          <t>FR-034</t>
        </is>
      </c>
      <c r="B33" s="49" t="inlineStr">
        <is>
          <t>Periodically check linked wallets on-chain; remove NFTs that leave a linked wallet from ranking</t>
        </is>
      </c>
      <c r="C33" s="49" t="inlineStr">
        <is>
          <t>US-TN09</t>
        </is>
      </c>
    </row>
    <row r="34">
      <c r="A34" s="49" t="inlineStr">
        <is>
          <t>FR-035</t>
        </is>
      </c>
      <c r="B34" s="49" t="inlineStr">
        <is>
          <t>Refund a paid purchase when minting fails</t>
        </is>
      </c>
      <c r="C34" s="49" t="inlineStr">
        <is>
          <t>US-TN10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B2" sqref="B2"/>
    </sheetView>
  </sheetViews>
  <sheetFormatPr baseColWidth="8" defaultRowHeight="12.75"/>
  <cols>
    <col width="23.28515625" customWidth="1" min="1" max="1"/>
    <col width="67" customWidth="1" min="2" max="3"/>
  </cols>
  <sheetData>
    <row r="1" ht="13.5" customHeight="1" thickBot="1">
      <c r="A1" s="28" t="inlineStr">
        <is>
          <t>Tiêu chí</t>
        </is>
      </c>
      <c r="B1" s="28" t="inlineStr">
        <is>
          <t>Dạng Quy Tắc (Rule-Based)</t>
        </is>
      </c>
      <c r="C1" s="28" t="inlineStr">
        <is>
          <t>Dạng Kịch Bản (Scenario-Based - Given/When/Then)</t>
        </is>
      </c>
    </row>
    <row r="2" ht="26.25" customHeight="1" thickBot="1">
      <c r="A2" s="28" t="inlineStr">
        <is>
          <t>User Story</t>
        </is>
      </c>
      <c r="B2" s="28" t="inlineStr">
        <is>
          <t>US-03: Là một người dùng, tôi muốn tìm kiếm phim theo tên hoặc thể loại, để tôi có thể tìm thấy bộ phim mình muốn xem.</t>
        </is>
      </c>
      <c r="C2" s="28" t="inlineStr">
        <is>
          <t>US-03: Là một người dùng, tôi muốn tìm kiếm phim theo tên hoặc thể loại, để tôi có thể tìm thấy bộ phim mình muốn xem.</t>
        </is>
      </c>
    </row>
    <row r="3" ht="13.5" customHeight="1" thickBot="1">
      <c r="A3" s="28" t="inlineStr">
        <is>
          <t>Định dạng</t>
        </is>
      </c>
      <c r="B3" s="29" t="inlineStr">
        <is>
          <t>Các quy tắc, điều kiện được liệt kê dưới dạng gạch đầu dòng hoặc số.</t>
        </is>
      </c>
      <c r="C3" s="29" t="inlineStr">
        <is>
          <t>Các kịch bản hành vi cụ thể được mô tả theo cấu trúc Given/When/Then.</t>
        </is>
      </c>
    </row>
    <row r="4" ht="26.25" customHeight="1" thickBot="1">
      <c r="A4" s="28" t="inlineStr">
        <is>
          <t>Mức độ chi tiết</t>
        </is>
      </c>
      <c r="B4" s="29" t="inlineStr">
        <is>
          <t>Tập trung vào các điều kiện và kết quả. Có thể kém trực quan hơn về luồng hành vi của người dùng.</t>
        </is>
      </c>
      <c r="C4" s="29" t="inlineStr">
        <is>
          <t>Cung cấp luồng tương tác chi tiết, dễ hình dung cách người dùng sử dụng tính năng trong thực tế.</t>
        </is>
      </c>
    </row>
    <row r="5" ht="26.25" customHeight="1" thickBot="1">
      <c r="A5" s="28" t="inlineStr">
        <is>
          <t>Mục đích chính</t>
        </is>
      </c>
      <c r="B5" s="29" t="inlineStr">
        <is>
          <t>Đảm bảo tất cả các điều kiện chức năng được thỏa mãn.</t>
        </is>
      </c>
      <c r="C5" s="29" t="inlineStr">
        <is>
          <t>Đảm bảo hệ thống hoạt động đúng mong đợi trong các tình huống sử dụng khác nhau.</t>
        </is>
      </c>
    </row>
    <row r="6">
      <c r="A6" s="28" t="inlineStr">
        <is>
          <t>Ví dụ AC</t>
        </is>
      </c>
      <c r="B6" s="37" t="inlineStr">
        <is>
          <t>1. Tìm kiếm theo Tên Phim:</t>
        </is>
      </c>
      <c r="C6" s="37" t="inlineStr">
        <is>
          <t>Kịch bản: Tìm kiếm phim đã tồn tại bằng tên đầy đủ</t>
        </is>
      </c>
    </row>
    <row r="7">
      <c r="A7" s="50" t="n"/>
      <c r="B7" s="31" t="n"/>
      <c r="C7" s="31" t="n"/>
    </row>
    <row r="8" ht="25.5" customHeight="1">
      <c r="A8" s="50" t="n"/>
      <c r="B8" s="32" t="inlineStr">
        <is>
          <t>- Khi người dùng nhập tên phim (hoặc một phần tên) vào ô tìm kiếm và nhấn Enter.</t>
        </is>
      </c>
      <c r="C8" s="32" t="inlineStr">
        <is>
          <t>* Given Tôi đang ở trang tìm kiếm phim</t>
        </is>
      </c>
    </row>
    <row r="9">
      <c r="A9" s="50" t="n"/>
      <c r="B9" s="31" t="n"/>
      <c r="C9" s="31" t="n"/>
    </row>
    <row r="10">
      <c r="A10" s="50" t="n"/>
      <c r="B10" s="32" t="inlineStr">
        <is>
          <t>- Hệ thống phải hiển thị danh sách các phim có tên phù hợp.</t>
        </is>
      </c>
      <c r="C10" s="32" t="inlineStr">
        <is>
          <t>* When Tôi nhập "Mắt Biếc" vào thanh tìm kiếm</t>
        </is>
      </c>
    </row>
    <row r="11">
      <c r="A11" s="50" t="n"/>
      <c r="B11" s="31" t="n"/>
      <c r="C11" s="31" t="n"/>
    </row>
    <row r="12">
      <c r="A12" s="50" t="n"/>
      <c r="B12" s="32" t="inlineStr">
        <is>
          <t>- Kết quả phải được sắp xếp theo mức độ liên quan.</t>
        </is>
      </c>
      <c r="C12" s="32" t="inlineStr">
        <is>
          <t>* And Tôi nhấp vào nút "Tìm kiếm"</t>
        </is>
      </c>
    </row>
    <row r="13">
      <c r="A13" s="50" t="n"/>
      <c r="B13" s="31" t="n"/>
      <c r="C13" s="31" t="n"/>
    </row>
    <row r="14" ht="25.5" customHeight="1">
      <c r="A14" s="50" t="n"/>
      <c r="B14" s="32" t="inlineStr">
        <is>
          <t>- Nếu không tìm thấy phim nào, hệ thống phải hiển thị thông báo "Không tìm thấy phim."</t>
        </is>
      </c>
      <c r="C14" s="32" t="inlineStr">
        <is>
          <t>* Then Tôi sẽ thấy "Mắt Biếc" là kết quả đầu tiên</t>
        </is>
      </c>
    </row>
    <row r="15">
      <c r="A15" s="50" t="n"/>
      <c r="B15" s="31" t="n"/>
      <c r="C15" s="31" t="n"/>
    </row>
    <row r="16">
      <c r="A16" s="50" t="n"/>
      <c r="B16" s="31" t="n"/>
      <c r="C16" s="32" t="inlineStr">
        <is>
          <t>* And Không có phim không liên quan nào khác được hiển thị.</t>
        </is>
      </c>
    </row>
    <row r="17">
      <c r="A17" s="50" t="n"/>
      <c r="B17" s="31" t="n"/>
      <c r="C17" s="31" t="n"/>
    </row>
    <row r="18">
      <c r="A18" s="50" t="n"/>
      <c r="B18" s="31" t="n"/>
      <c r="C18" s="31" t="n"/>
    </row>
    <row r="19">
      <c r="A19" s="50" t="n"/>
      <c r="B19" s="31" t="n"/>
      <c r="C19" s="38" t="inlineStr">
        <is>
          <t>Kịch bản: Tìm kiếm phim theo Thể loại</t>
        </is>
      </c>
    </row>
    <row r="20">
      <c r="A20" s="50" t="n"/>
      <c r="B20" s="31" t="n"/>
      <c r="C20" s="31" t="n"/>
    </row>
    <row r="21">
      <c r="A21" s="50" t="n"/>
      <c r="B21" s="31" t="n"/>
      <c r="C21" s="32" t="inlineStr">
        <is>
          <t>* Given Tôi đang ở trang tìm kiếm phim</t>
        </is>
      </c>
    </row>
    <row r="22">
      <c r="A22" s="50" t="n"/>
      <c r="B22" s="31" t="n"/>
      <c r="C22" s="31" t="n"/>
    </row>
    <row r="23">
      <c r="A23" s="50" t="n"/>
      <c r="B23" s="31" t="n"/>
      <c r="C23" s="32" t="inlineStr">
        <is>
          <t>* When Tôi chọn "Hành Động" từ bộ lọc thể loại</t>
        </is>
      </c>
    </row>
    <row r="24">
      <c r="A24" s="50" t="n"/>
      <c r="B24" s="31" t="n"/>
      <c r="C24" s="31" t="n"/>
    </row>
    <row r="25">
      <c r="A25" s="50" t="n"/>
      <c r="B25" s="31" t="n"/>
      <c r="C25" s="32" t="inlineStr">
        <is>
          <t>* And Tôi nhấp vào nút "Áp dụng Bộ lọc"</t>
        </is>
      </c>
    </row>
    <row r="26">
      <c r="A26" s="50" t="n"/>
      <c r="B26" s="31" t="n"/>
      <c r="C26" s="31" t="n"/>
    </row>
    <row r="27">
      <c r="A27" s="50" t="n"/>
      <c r="B27" s="31" t="n"/>
      <c r="C27" s="32" t="inlineStr">
        <is>
          <t>* Then Tôi chỉ nên thấy các phim được phân loại là "Hành Động"</t>
        </is>
      </c>
    </row>
    <row r="28">
      <c r="A28" s="50" t="n"/>
      <c r="B28" s="31" t="n"/>
      <c r="C28" s="31" t="n"/>
    </row>
    <row r="29" ht="13.5" customHeight="1" thickBot="1">
      <c r="A29" s="51" t="n"/>
      <c r="B29" s="33" t="n"/>
      <c r="C29" s="35" t="inlineStr">
        <is>
          <t>* And Các kết quả nên được sắp xếp theo độ phổ biến.</t>
        </is>
      </c>
    </row>
    <row r="30">
      <c r="A30" s="28" t="inlineStr">
        <is>
          <t>Ví dụ AC (tiếp)</t>
        </is>
      </c>
      <c r="B30" s="37" t="inlineStr">
        <is>
          <t>2. Tìm kiếm theo Thể loại:</t>
        </is>
      </c>
      <c r="C30" s="37" t="inlineStr">
        <is>
          <t>Kịch bản: Tìm kiếm không trả về kết quả</t>
        </is>
      </c>
    </row>
    <row r="31">
      <c r="A31" s="50" t="n"/>
      <c r="B31" s="31" t="n"/>
      <c r="C31" s="31" t="n"/>
    </row>
    <row r="32">
      <c r="A32" s="50" t="n"/>
      <c r="B32" s="32" t="inlineStr">
        <is>
          <t>- Khi người dùng chọn một thể loại từ bộ lọc.</t>
        </is>
      </c>
      <c r="C32" s="32" t="inlineStr">
        <is>
          <t>* Given Tôi đang ở trang tìm kiếm phim</t>
        </is>
      </c>
    </row>
    <row r="33">
      <c r="A33" s="50" t="n"/>
      <c r="B33" s="31" t="n"/>
      <c r="C33" s="31" t="n"/>
    </row>
    <row r="34">
      <c r="A34" s="50" t="n"/>
      <c r="B34" s="32" t="inlineStr">
        <is>
          <t>- Hệ thống phải hiển thị tất cả các phim thuộc thể loại đó.</t>
        </is>
      </c>
      <c r="C34" s="32" t="inlineStr">
        <is>
          <t>* And Không có phim nào khớp với "Phim Không Tồn Tại XYZ"</t>
        </is>
      </c>
    </row>
    <row r="35">
      <c r="A35" s="50" t="n"/>
      <c r="B35" s="31" t="n"/>
      <c r="C35" s="31" t="n"/>
    </row>
    <row r="36">
      <c r="A36" s="50" t="n"/>
      <c r="B36" s="32" t="inlineStr">
        <is>
          <t>- Các phim không thuộc thể loại đã chọn phải không được hiển thị.</t>
        </is>
      </c>
      <c r="C36" s="32" t="inlineStr">
        <is>
          <t>* When Tôi nhập "Phim Không Tồn Tại XYZ" vào thanh tìm kiếm</t>
        </is>
      </c>
    </row>
    <row r="37">
      <c r="A37" s="50" t="n"/>
      <c r="B37" s="31" t="n"/>
      <c r="C37" s="31" t="n"/>
    </row>
    <row r="38">
      <c r="A38" s="50" t="n"/>
      <c r="B38" s="31" t="n"/>
      <c r="C38" s="32" t="inlineStr">
        <is>
          <t>* And Tôi nhấp vào nút "Tìm kiếm"</t>
        </is>
      </c>
    </row>
    <row r="39">
      <c r="A39" s="50" t="n"/>
      <c r="B39" s="38" t="inlineStr">
        <is>
          <t>3. Không tìm thấy kết quả:</t>
        </is>
      </c>
      <c r="C39" s="31" t="n"/>
    </row>
    <row r="40" ht="25.5" customHeight="1">
      <c r="A40" s="50" t="n"/>
      <c r="B40" s="31" t="n"/>
      <c r="C40" s="32" t="inlineStr">
        <is>
          <t>* Then Tôi sẽ thấy thông báo "Không tìm thấy phim nào cho 'Phim Không Tồn Tại XYZ'"</t>
        </is>
      </c>
    </row>
    <row r="41">
      <c r="A41" s="50" t="n"/>
      <c r="B41" s="32" t="inlineStr">
        <is>
          <t>- Khi người dùng tìm kiếm một từ khóa không khớp với bất kỳ phim nào.</t>
        </is>
      </c>
      <c r="C41" s="31" t="n"/>
    </row>
    <row r="42">
      <c r="A42" s="50" t="n"/>
      <c r="B42" s="31" t="n"/>
      <c r="C42" s="32" t="inlineStr">
        <is>
          <t>* And Khu vực hiển thị kết quả tìm kiếm phải trống.</t>
        </is>
      </c>
    </row>
    <row r="43" ht="26.25" customHeight="1" thickBot="1">
      <c r="A43" s="51" t="n"/>
      <c r="B43" s="35" t="inlineStr">
        <is>
          <t>- Hệ thống phải hiển thị thông báo rõ ràng "Không tìm thấy kết quả nào cho '[từ khóa người dùng]'".</t>
        </is>
      </c>
      <c r="C43" s="33" t="n"/>
    </row>
    <row r="44">
      <c r="A44" s="28" t="inlineStr">
        <is>
          <t>Ưu điểm</t>
        </is>
      </c>
      <c r="B44" s="36" t="inlineStr">
        <is>
          <t>- Đơn giản, dễ viết nhanh cho các quy tắc cơ bản.</t>
        </is>
      </c>
      <c r="C44" s="36" t="inlineStr">
        <is>
          <t>- Cực kỳ rõ ràng về hành vi mong muốn.</t>
        </is>
      </c>
    </row>
    <row r="45">
      <c r="A45" s="50" t="n"/>
      <c r="B45" s="31" t="n"/>
      <c r="C45" s="31" t="n"/>
    </row>
    <row r="46" ht="25.5" customHeight="1">
      <c r="A46" s="50" t="n"/>
      <c r="B46" s="32" t="inlineStr">
        <is>
          <t>- Tốt cho việc liệt kê các ràng buộc hoặc điều kiện riêng lẻ.</t>
        </is>
      </c>
      <c r="C46" s="32" t="inlineStr">
        <is>
          <t>- Hỗ trợ mạnh mẽ cho BDD (Behavior-Driven Development) và kiểm thử tự động.</t>
        </is>
      </c>
    </row>
    <row r="47">
      <c r="A47" s="50" t="n"/>
      <c r="B47" s="31" t="n"/>
      <c r="C47" s="31" t="n"/>
    </row>
    <row r="48">
      <c r="A48" s="50" t="n"/>
      <c r="B48" s="31" t="n"/>
      <c r="C48" s="32" t="inlineStr">
        <is>
          <t>- Dễ dàng trao đổi và thảo luận giữa các bên liên quan.</t>
        </is>
      </c>
    </row>
    <row r="49">
      <c r="A49" s="50" t="n"/>
      <c r="B49" s="31" t="n"/>
      <c r="C49" s="31" t="n"/>
    </row>
    <row r="50" ht="13.5" customHeight="1" thickBot="1">
      <c r="A50" s="51" t="n"/>
      <c r="B50" s="33" t="n"/>
      <c r="C50" s="35" t="inlineStr">
        <is>
          <t>- Giúp khám phá các trường hợp biên tốt hơn.</t>
        </is>
      </c>
    </row>
    <row r="51">
      <c r="A51" s="28" t="inlineStr">
        <is>
          <t>Nhược điểm</t>
        </is>
      </c>
      <c r="B51" s="36" t="inlineStr">
        <is>
          <t>- Có thể thiếu ngữ cảnh và khó hình dung luồng sử dụng.</t>
        </is>
      </c>
      <c r="C51" s="36" t="inlineStr">
        <is>
          <t>- Yêu cầu nhiều từ ngữ hơn để mô tả cùng một chức năng.</t>
        </is>
      </c>
    </row>
    <row r="52">
      <c r="A52" s="50" t="n"/>
      <c r="B52" s="31" t="n"/>
      <c r="C52" s="31" t="n"/>
    </row>
    <row r="53" ht="25.5" customHeight="1">
      <c r="A53" s="50" t="n"/>
      <c r="B53" s="32" t="inlineStr">
        <is>
          <t>- Khó chuyển đổi trực tiếp thành các test cases tự động mà không cần thêm bước diễn giải.</t>
        </is>
      </c>
      <c r="C53" s="32" t="inlineStr">
        <is>
          <t>- Nếu không cẩn thận, có thể quá chi tiết vào các bước giao diện (UI) thay vì chỉ mô tả hành vi.</t>
        </is>
      </c>
    </row>
    <row r="54">
      <c r="A54" s="50" t="n"/>
      <c r="B54" s="31" t="n"/>
      <c r="C54" s="31" t="n"/>
    </row>
    <row r="55" ht="13.5" customHeight="1" thickBot="1">
      <c r="A55" s="51" t="n"/>
      <c r="B55" s="35" t="inlineStr">
        <is>
          <t>- Có thể bỏ sót các trường hợp biên nếu không suy nghĩ không kỹ.</t>
        </is>
      </c>
      <c r="C55" s="33" t="n"/>
    </row>
    <row r="56">
      <c r="A56" s="28" t="inlineStr">
        <is>
          <t>Thường được dùng khi</t>
        </is>
      </c>
      <c r="B56" s="36" t="inlineStr">
        <is>
          <t>- Nhanh chóng ghi lại các yêu cầu hoặc quy tắc đơn giản.</t>
        </is>
      </c>
      <c r="C56" s="36" t="inlineStr">
        <is>
          <t>- Trong môi trường Agile/Scrum.</t>
        </is>
      </c>
    </row>
    <row r="57">
      <c r="A57" s="50" t="n"/>
      <c r="B57" s="31" t="n"/>
      <c r="C57" s="31" t="n"/>
    </row>
    <row r="58">
      <c r="A58" s="50" t="n"/>
      <c r="B58" s="32" t="inlineStr">
        <is>
          <t>- Trong các tài liệu yêu cầu truyền thống hoặc cho các chức năng rất nhỏ.</t>
        </is>
      </c>
      <c r="C58" s="32" t="inlineStr">
        <is>
          <t>- Khi thực hành BDD.</t>
        </is>
      </c>
    </row>
    <row r="59">
      <c r="A59" s="50" t="n"/>
      <c r="B59" s="31" t="n"/>
      <c r="C59" s="31" t="n"/>
    </row>
    <row r="60">
      <c r="A60" s="50" t="n"/>
      <c r="B60" s="31" t="n"/>
      <c r="C60" s="32" t="inlineStr">
        <is>
          <t>- Khi cần sự rõ ràng tối đa và khả năng kiểm thử tự động cao.</t>
        </is>
      </c>
    </row>
    <row r="61">
      <c r="A61" s="50" t="n"/>
      <c r="B61" s="31" t="n"/>
      <c r="C61" s="31" t="n"/>
    </row>
    <row r="62" ht="13.5" customHeight="1" thickBot="1">
      <c r="A62" s="51" t="n"/>
      <c r="B62" s="33" t="n"/>
      <c r="C62" s="35" t="inlineStr">
        <is>
          <t>- Là cách tiếp cận phổ biến hơn trong các đội ngũ hiện đại.</t>
        </is>
      </c>
    </row>
  </sheetData>
  <mergeCells count="5">
    <mergeCell ref="A30:A43"/>
    <mergeCell ref="A56:A62"/>
    <mergeCell ref="A51:A55"/>
    <mergeCell ref="A6:A29"/>
    <mergeCell ref="A44:A5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2025-11-14T08:19:33Z</dcterms:created>
  <dcterms:modified xmlns:dcterms="http://purl.org/dc/terms/" xmlns:xsi="http://www.w3.org/2001/XMLSchema-instance" xsi:type="dcterms:W3CDTF">2026-10-16T06:54:04Z</dcterms:modified>
  <cp:lastModifiedBy>Tinh, Tran Chi (Tech)</cp:lastModifiedBy>
</cp:coreProperties>
</file>